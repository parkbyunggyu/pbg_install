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bkbsp\OneDrive\바탕 화면\pbg_install-master (3)\pbg_install-master\"/>
    </mc:Choice>
  </mc:AlternateContent>
  <bookViews>
    <workbookView xWindow="0" yWindow="0" windowWidth="28800" windowHeight="12390"/>
  </bookViews>
  <sheets>
    <sheet name="Main" sheetId="1" r:id="rId1"/>
    <sheet name="Appendix" sheetId="2" r:id="rId2"/>
    <sheet name="CentOS FTP" sheetId="5" r:id="rId3"/>
  </sheets>
  <externalReferences>
    <externalReference r:id="rId4"/>
    <externalReference r:id="rId5"/>
  </externalReferences>
  <definedNames>
    <definedName name="DRDW_LST">OFFSET([1]REPORT!$A$7,0,0,COUNTA([1]REPORT!$A:$A),1)</definedName>
    <definedName name="rpm_list_3" localSheetId="2">'CentOS FTP'!#REF!</definedName>
    <definedName name="rpm_list_4" localSheetId="2">'CentOS FTP'!#REF!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C2" i="5"/>
  <c r="I2" i="5" s="1"/>
  <c r="C3" i="5"/>
  <c r="B3" i="5" s="1"/>
  <c r="G3" i="5" s="1"/>
  <c r="B4" i="5"/>
  <c r="G4" i="5" s="1"/>
  <c r="C4" i="5"/>
  <c r="I4" i="5" s="1"/>
  <c r="C5" i="5"/>
  <c r="B5" i="5" s="1"/>
  <c r="G5" i="5" s="1"/>
  <c r="B6" i="5"/>
  <c r="C6" i="5"/>
  <c r="I6" i="5" s="1"/>
  <c r="C7" i="5"/>
  <c r="B7" i="5" s="1"/>
  <c r="C8" i="5"/>
  <c r="I8" i="5" s="1"/>
  <c r="C9" i="5"/>
  <c r="B9" i="5" s="1"/>
  <c r="C10" i="5"/>
  <c r="I10" i="5" s="1"/>
  <c r="C11" i="5"/>
  <c r="B11" i="5" s="1"/>
  <c r="C12" i="5"/>
  <c r="I12" i="5" s="1"/>
  <c r="C13" i="5"/>
  <c r="C14" i="5"/>
  <c r="I14" i="5" s="1"/>
  <c r="C15" i="5"/>
  <c r="C16" i="5"/>
  <c r="I16" i="5" s="1"/>
  <c r="C17" i="5"/>
  <c r="C18" i="5"/>
  <c r="I18" i="5" s="1"/>
  <c r="C19" i="5"/>
  <c r="C20" i="5"/>
  <c r="I20" i="5" s="1"/>
  <c r="C21" i="5"/>
  <c r="C22" i="5"/>
  <c r="I22" i="5" s="1"/>
  <c r="C23" i="5"/>
  <c r="C24" i="5"/>
  <c r="I24" i="5" s="1"/>
  <c r="C25" i="5"/>
  <c r="C26" i="5"/>
  <c r="I26" i="5" s="1"/>
  <c r="C27" i="5"/>
  <c r="C28" i="5"/>
  <c r="I28" i="5" s="1"/>
  <c r="C29" i="5"/>
  <c r="C30" i="5"/>
  <c r="I30" i="5" s="1"/>
  <c r="C31" i="5"/>
  <c r="C32" i="5"/>
  <c r="I32" i="5" s="1"/>
  <c r="C33" i="5"/>
  <c r="C34" i="5"/>
  <c r="I34" i="5" s="1"/>
  <c r="C35" i="5"/>
  <c r="C36" i="5"/>
  <c r="I36" i="5" s="1"/>
  <c r="C37" i="5"/>
  <c r="C38" i="5"/>
  <c r="I38" i="5" s="1"/>
  <c r="C39" i="5"/>
  <c r="C40" i="5"/>
  <c r="I40" i="5" s="1"/>
  <c r="C41" i="5"/>
  <c r="C42" i="5"/>
  <c r="I42" i="5" s="1"/>
  <c r="C43" i="5"/>
  <c r="C44" i="5"/>
  <c r="I44" i="5" s="1"/>
  <c r="C45" i="5"/>
  <c r="C46" i="5"/>
  <c r="I46" i="5" s="1"/>
  <c r="C47" i="5"/>
  <c r="C48" i="5"/>
  <c r="I48" i="5" s="1"/>
  <c r="C49" i="5"/>
  <c r="C50" i="5"/>
  <c r="I50" i="5" s="1"/>
  <c r="C51" i="5"/>
  <c r="C52" i="5"/>
  <c r="I52" i="5" s="1"/>
  <c r="C53" i="5"/>
  <c r="C54" i="5"/>
  <c r="I54" i="5" s="1"/>
  <c r="C55" i="5"/>
  <c r="C56" i="5"/>
  <c r="I56" i="5" s="1"/>
  <c r="C57" i="5"/>
  <c r="C58" i="5"/>
  <c r="I58" i="5" s="1"/>
  <c r="C59" i="5"/>
  <c r="C60" i="5"/>
  <c r="I60" i="5" s="1"/>
  <c r="C61" i="5"/>
  <c r="C62" i="5"/>
  <c r="I62" i="5" s="1"/>
  <c r="C63" i="5"/>
  <c r="C64" i="5"/>
  <c r="I64" i="5" s="1"/>
  <c r="C65" i="5"/>
  <c r="C66" i="5"/>
  <c r="I66" i="5" s="1"/>
  <c r="C67" i="5"/>
  <c r="C68" i="5"/>
  <c r="I68" i="5" s="1"/>
  <c r="C69" i="5"/>
  <c r="C70" i="5"/>
  <c r="I70" i="5" s="1"/>
  <c r="C71" i="5"/>
  <c r="C72" i="5"/>
  <c r="I72" i="5" s="1"/>
  <c r="C73" i="5"/>
  <c r="C74" i="5"/>
  <c r="I74" i="5" s="1"/>
  <c r="C75" i="5"/>
  <c r="C76" i="5"/>
  <c r="I76" i="5" s="1"/>
  <c r="C77" i="5"/>
  <c r="C78" i="5"/>
  <c r="I78" i="5" s="1"/>
  <c r="C79" i="5"/>
  <c r="C80" i="5"/>
  <c r="I80" i="5" s="1"/>
  <c r="C81" i="5"/>
  <c r="C82" i="5"/>
  <c r="I82" i="5" s="1"/>
  <c r="C83" i="5"/>
  <c r="C84" i="5"/>
  <c r="I84" i="5" s="1"/>
  <c r="C85" i="5"/>
  <c r="C86" i="5"/>
  <c r="I86" i="5" s="1"/>
  <c r="C87" i="5"/>
  <c r="C88" i="5"/>
  <c r="I88" i="5" s="1"/>
  <c r="C89" i="5"/>
  <c r="C90" i="5"/>
  <c r="I90" i="5" s="1"/>
  <c r="C91" i="5"/>
  <c r="C92" i="5"/>
  <c r="I92" i="5" s="1"/>
  <c r="C93" i="5"/>
  <c r="C94" i="5"/>
  <c r="I94" i="5" s="1"/>
  <c r="C95" i="5"/>
  <c r="C96" i="5"/>
  <c r="I96" i="5" s="1"/>
  <c r="C97" i="5"/>
  <c r="C98" i="5"/>
  <c r="I98" i="5" s="1"/>
  <c r="C99" i="5"/>
  <c r="C100" i="5"/>
  <c r="I100" i="5" s="1"/>
  <c r="C101" i="5"/>
  <c r="C102" i="5"/>
  <c r="I102" i="5" s="1"/>
  <c r="C103" i="5"/>
  <c r="C104" i="5"/>
  <c r="I104" i="5" s="1"/>
  <c r="C105" i="5"/>
  <c r="C106" i="5"/>
  <c r="I106" i="5" s="1"/>
  <c r="C107" i="5"/>
  <c r="C108" i="5"/>
  <c r="I108" i="5" s="1"/>
  <c r="C109" i="5"/>
  <c r="C110" i="5"/>
  <c r="I110" i="5" s="1"/>
  <c r="C111" i="5"/>
  <c r="C112" i="5"/>
  <c r="I112" i="5" s="1"/>
  <c r="C113" i="5"/>
  <c r="C114" i="5"/>
  <c r="I114" i="5" s="1"/>
  <c r="C115" i="5"/>
  <c r="C116" i="5"/>
  <c r="I116" i="5" s="1"/>
  <c r="C117" i="5"/>
  <c r="C118" i="5"/>
  <c r="I118" i="5" s="1"/>
  <c r="C119" i="5"/>
  <c r="C120" i="5"/>
  <c r="I120" i="5" s="1"/>
  <c r="C121" i="5"/>
  <c r="B121" i="5" s="1"/>
  <c r="B122" i="5"/>
  <c r="G122" i="5" s="1"/>
  <c r="C122" i="5"/>
  <c r="I122" i="5" s="1"/>
  <c r="C123" i="5"/>
  <c r="B123" i="5" s="1"/>
  <c r="I123" i="5"/>
  <c r="C124" i="5"/>
  <c r="I124" i="5" s="1"/>
  <c r="C125" i="5"/>
  <c r="B125" i="5" s="1"/>
  <c r="G125" i="5" s="1"/>
  <c r="I125" i="5"/>
  <c r="B126" i="5"/>
  <c r="C126" i="5"/>
  <c r="I126" i="5" s="1"/>
  <c r="C127" i="5"/>
  <c r="B127" i="5" s="1"/>
  <c r="C128" i="5"/>
  <c r="I128" i="5" s="1"/>
  <c r="C129" i="5"/>
  <c r="B129" i="5" s="1"/>
  <c r="G129" i="5" s="1"/>
  <c r="B130" i="5"/>
  <c r="C130" i="5"/>
  <c r="I130" i="5" s="1"/>
  <c r="C131" i="5"/>
  <c r="B131" i="5" s="1"/>
  <c r="G131" i="5" s="1"/>
  <c r="I131" i="5"/>
  <c r="B132" i="5"/>
  <c r="C132" i="5"/>
  <c r="I132" i="5" s="1"/>
  <c r="C133" i="5"/>
  <c r="B133" i="5" s="1"/>
  <c r="G133" i="5" s="1"/>
  <c r="I133" i="5"/>
  <c r="B134" i="5"/>
  <c r="C134" i="5"/>
  <c r="I134" i="5" s="1"/>
  <c r="C135" i="5"/>
  <c r="B135" i="5" s="1"/>
  <c r="C136" i="5"/>
  <c r="I136" i="5" s="1"/>
  <c r="C137" i="5"/>
  <c r="B137" i="5" s="1"/>
  <c r="B138" i="5"/>
  <c r="G138" i="5" s="1"/>
  <c r="C138" i="5"/>
  <c r="I138" i="5" s="1"/>
  <c r="C139" i="5"/>
  <c r="B139" i="5" s="1"/>
  <c r="I139" i="5"/>
  <c r="C140" i="5"/>
  <c r="I140" i="5" s="1"/>
  <c r="C141" i="5"/>
  <c r="B141" i="5" s="1"/>
  <c r="G141" i="5" s="1"/>
  <c r="I141" i="5"/>
  <c r="B142" i="5"/>
  <c r="C142" i="5"/>
  <c r="I142" i="5" s="1"/>
  <c r="C143" i="5"/>
  <c r="B143" i="5" s="1"/>
  <c r="C144" i="5"/>
  <c r="I144" i="5" s="1"/>
  <c r="C145" i="5"/>
  <c r="B145" i="5" s="1"/>
  <c r="B146" i="5"/>
  <c r="G146" i="5" s="1"/>
  <c r="C146" i="5"/>
  <c r="I146" i="5" s="1"/>
  <c r="C147" i="5"/>
  <c r="B147" i="5" s="1"/>
  <c r="G147" i="5" s="1"/>
  <c r="I147" i="5"/>
  <c r="B148" i="5"/>
  <c r="C148" i="5"/>
  <c r="I148" i="5" s="1"/>
  <c r="C149" i="5"/>
  <c r="B149" i="5" s="1"/>
  <c r="G149" i="5" s="1"/>
  <c r="I149" i="5"/>
  <c r="B150" i="5"/>
  <c r="I150" i="5"/>
  <c r="B151" i="5"/>
  <c r="G151" i="5" s="1"/>
  <c r="I151" i="5"/>
  <c r="B152" i="5"/>
  <c r="G152" i="5"/>
  <c r="I152" i="5"/>
  <c r="B153" i="5"/>
  <c r="G153" i="5" s="1"/>
  <c r="I153" i="5"/>
  <c r="B154" i="5"/>
  <c r="I154" i="5"/>
  <c r="C155" i="5"/>
  <c r="I155" i="5" s="1"/>
  <c r="B156" i="5"/>
  <c r="C156" i="5"/>
  <c r="I156" i="5"/>
  <c r="B157" i="5"/>
  <c r="C157" i="5"/>
  <c r="I157" i="5" s="1"/>
  <c r="C158" i="5"/>
  <c r="I158" i="5" s="1"/>
  <c r="B159" i="5"/>
  <c r="G159" i="5" s="1"/>
  <c r="C159" i="5"/>
  <c r="I159" i="5" s="1"/>
  <c r="B160" i="5"/>
  <c r="G160" i="5" s="1"/>
  <c r="C160" i="5"/>
  <c r="I160" i="5" s="1"/>
  <c r="B161" i="5"/>
  <c r="C161" i="5"/>
  <c r="I161" i="5" s="1"/>
  <c r="C162" i="5"/>
  <c r="B162" i="5" s="1"/>
  <c r="C163" i="5"/>
  <c r="I163" i="5" s="1"/>
  <c r="B164" i="5"/>
  <c r="G164" i="5" s="1"/>
  <c r="C164" i="5"/>
  <c r="I164" i="5"/>
  <c r="B165" i="5"/>
  <c r="G165" i="5" s="1"/>
  <c r="C165" i="5"/>
  <c r="I165" i="5" s="1"/>
  <c r="B166" i="5"/>
  <c r="C166" i="5"/>
  <c r="I166" i="5"/>
  <c r="C167" i="5"/>
  <c r="I167" i="5" s="1"/>
  <c r="B168" i="5"/>
  <c r="C168" i="5"/>
  <c r="I168" i="5" s="1"/>
  <c r="B169" i="5"/>
  <c r="C169" i="5"/>
  <c r="I169" i="5" s="1"/>
  <c r="C170" i="5"/>
  <c r="B170" i="5" s="1"/>
  <c r="C171" i="5"/>
  <c r="I171" i="5" s="1"/>
  <c r="B172" i="5"/>
  <c r="C172" i="5"/>
  <c r="I172" i="5"/>
  <c r="B173" i="5"/>
  <c r="C173" i="5"/>
  <c r="I173" i="5" s="1"/>
  <c r="C174" i="5"/>
  <c r="I174" i="5" s="1"/>
  <c r="B175" i="5"/>
  <c r="C175" i="5"/>
  <c r="I175" i="5"/>
  <c r="C176" i="5"/>
  <c r="I176" i="5" s="1"/>
  <c r="B177" i="5"/>
  <c r="C177" i="5"/>
  <c r="I177" i="5"/>
  <c r="C178" i="5"/>
  <c r="I178" i="5" s="1"/>
  <c r="B179" i="5"/>
  <c r="C179" i="5"/>
  <c r="I179" i="5"/>
  <c r="C180" i="5"/>
  <c r="I180" i="5" s="1"/>
  <c r="B181" i="5"/>
  <c r="C181" i="5"/>
  <c r="I181" i="5"/>
  <c r="C182" i="5"/>
  <c r="I182" i="5" s="1"/>
  <c r="B183" i="5"/>
  <c r="C183" i="5"/>
  <c r="I183" i="5"/>
  <c r="C184" i="5"/>
  <c r="I184" i="5" s="1"/>
  <c r="B185" i="5"/>
  <c r="C185" i="5"/>
  <c r="I185" i="5"/>
  <c r="C186" i="5"/>
  <c r="I186" i="5" s="1"/>
  <c r="B187" i="5"/>
  <c r="C187" i="5"/>
  <c r="I187" i="5"/>
  <c r="C188" i="5"/>
  <c r="I188" i="5" s="1"/>
  <c r="B189" i="5"/>
  <c r="C189" i="5"/>
  <c r="I189" i="5"/>
  <c r="C190" i="5"/>
  <c r="I190" i="5" s="1"/>
  <c r="B191" i="5"/>
  <c r="C191" i="5"/>
  <c r="I191" i="5"/>
  <c r="C192" i="5"/>
  <c r="I192" i="5" s="1"/>
  <c r="B193" i="5"/>
  <c r="C193" i="5"/>
  <c r="I193" i="5"/>
  <c r="C194" i="5"/>
  <c r="I194" i="5" s="1"/>
  <c r="B195" i="5"/>
  <c r="C195" i="5"/>
  <c r="I195" i="5"/>
  <c r="C196" i="5"/>
  <c r="I196" i="5" s="1"/>
  <c r="G150" i="5" l="1"/>
  <c r="G132" i="5"/>
  <c r="G145" i="5"/>
  <c r="G168" i="5"/>
  <c r="G156" i="5"/>
  <c r="G130" i="5"/>
  <c r="G148" i="5"/>
  <c r="G172" i="5"/>
  <c r="G169" i="5"/>
  <c r="G161" i="5"/>
  <c r="G143" i="5"/>
  <c r="I162" i="5"/>
  <c r="I143" i="5"/>
  <c r="G137" i="5"/>
  <c r="G134" i="5"/>
  <c r="I127" i="5"/>
  <c r="G121" i="5"/>
  <c r="B196" i="5"/>
  <c r="G196" i="5" s="1"/>
  <c r="B194" i="5"/>
  <c r="G194" i="5" s="1"/>
  <c r="B192" i="5"/>
  <c r="G192" i="5" s="1"/>
  <c r="B190" i="5"/>
  <c r="G190" i="5" s="1"/>
  <c r="B188" i="5"/>
  <c r="G188" i="5" s="1"/>
  <c r="B186" i="5"/>
  <c r="G186" i="5" s="1"/>
  <c r="B184" i="5"/>
  <c r="G184" i="5" s="1"/>
  <c r="B182" i="5"/>
  <c r="G182" i="5" s="1"/>
  <c r="B180" i="5"/>
  <c r="G180" i="5" s="1"/>
  <c r="B178" i="5"/>
  <c r="G178" i="5" s="1"/>
  <c r="B176" i="5"/>
  <c r="G176" i="5" s="1"/>
  <c r="B174" i="5"/>
  <c r="B167" i="5"/>
  <c r="G167" i="5" s="1"/>
  <c r="B158" i="5"/>
  <c r="B140" i="5"/>
  <c r="G140" i="5" s="1"/>
  <c r="B124" i="5"/>
  <c r="G124" i="5" s="1"/>
  <c r="B117" i="5"/>
  <c r="I117" i="5"/>
  <c r="B113" i="5"/>
  <c r="I113" i="5"/>
  <c r="B109" i="5"/>
  <c r="I109" i="5"/>
  <c r="B105" i="5"/>
  <c r="I105" i="5"/>
  <c r="B101" i="5"/>
  <c r="I101" i="5"/>
  <c r="B97" i="5"/>
  <c r="I97" i="5"/>
  <c r="B93" i="5"/>
  <c r="I93" i="5"/>
  <c r="B89" i="5"/>
  <c r="I89" i="5"/>
  <c r="B85" i="5"/>
  <c r="I85" i="5"/>
  <c r="B81" i="5"/>
  <c r="I81" i="5"/>
  <c r="B77" i="5"/>
  <c r="I77" i="5"/>
  <c r="B73" i="5"/>
  <c r="I73" i="5"/>
  <c r="B69" i="5"/>
  <c r="I69" i="5"/>
  <c r="B65" i="5"/>
  <c r="I65" i="5"/>
  <c r="B61" i="5"/>
  <c r="I61" i="5"/>
  <c r="B57" i="5"/>
  <c r="I57" i="5"/>
  <c r="B53" i="5"/>
  <c r="I53" i="5"/>
  <c r="B49" i="5"/>
  <c r="I49" i="5"/>
  <c r="B45" i="5"/>
  <c r="I45" i="5"/>
  <c r="B41" i="5"/>
  <c r="I41" i="5"/>
  <c r="B37" i="5"/>
  <c r="I37" i="5"/>
  <c r="B33" i="5"/>
  <c r="I33" i="5"/>
  <c r="B29" i="5"/>
  <c r="I29" i="5"/>
  <c r="B25" i="5"/>
  <c r="I25" i="5"/>
  <c r="B21" i="5"/>
  <c r="I21" i="5"/>
  <c r="B17" i="5"/>
  <c r="I17" i="5"/>
  <c r="B13" i="5"/>
  <c r="I13" i="5"/>
  <c r="B171" i="5"/>
  <c r="G171" i="5" s="1"/>
  <c r="B155" i="5"/>
  <c r="I145" i="5"/>
  <c r="B136" i="5"/>
  <c r="G136" i="5" s="1"/>
  <c r="I129" i="5"/>
  <c r="B120" i="5"/>
  <c r="G120" i="5" s="1"/>
  <c r="B116" i="5"/>
  <c r="B112" i="5"/>
  <c r="B108" i="5"/>
  <c r="G108" i="5" s="1"/>
  <c r="B104" i="5"/>
  <c r="G104" i="5" s="1"/>
  <c r="B100" i="5"/>
  <c r="G100" i="5" s="1"/>
  <c r="B96" i="5"/>
  <c r="B92" i="5"/>
  <c r="G92" i="5" s="1"/>
  <c r="B88" i="5"/>
  <c r="B84" i="5"/>
  <c r="B80" i="5"/>
  <c r="B76" i="5"/>
  <c r="G76" i="5" s="1"/>
  <c r="B72" i="5"/>
  <c r="G72" i="5" s="1"/>
  <c r="B68" i="5"/>
  <c r="G68" i="5" s="1"/>
  <c r="B64" i="5"/>
  <c r="B60" i="5"/>
  <c r="G60" i="5" s="1"/>
  <c r="B56" i="5"/>
  <c r="B52" i="5"/>
  <c r="B48" i="5"/>
  <c r="B44" i="5"/>
  <c r="G44" i="5" s="1"/>
  <c r="B40" i="5"/>
  <c r="G40" i="5" s="1"/>
  <c r="B36" i="5"/>
  <c r="G36" i="5" s="1"/>
  <c r="B32" i="5"/>
  <c r="B28" i="5"/>
  <c r="G28" i="5" s="1"/>
  <c r="B24" i="5"/>
  <c r="B20" i="5"/>
  <c r="B16" i="5"/>
  <c r="B12" i="5"/>
  <c r="B8" i="5"/>
  <c r="I170" i="5"/>
  <c r="G142" i="5"/>
  <c r="I135" i="5"/>
  <c r="G126" i="5"/>
  <c r="B119" i="5"/>
  <c r="G119" i="5" s="1"/>
  <c r="I119" i="5"/>
  <c r="B115" i="5"/>
  <c r="G115" i="5" s="1"/>
  <c r="I115" i="5"/>
  <c r="B111" i="5"/>
  <c r="G111" i="5" s="1"/>
  <c r="I111" i="5"/>
  <c r="B107" i="5"/>
  <c r="G107" i="5" s="1"/>
  <c r="I107" i="5"/>
  <c r="B103" i="5"/>
  <c r="I103" i="5"/>
  <c r="B99" i="5"/>
  <c r="I99" i="5"/>
  <c r="B95" i="5"/>
  <c r="I95" i="5"/>
  <c r="B91" i="5"/>
  <c r="G91" i="5" s="1"/>
  <c r="I91" i="5"/>
  <c r="B87" i="5"/>
  <c r="G87" i="5" s="1"/>
  <c r="I87" i="5"/>
  <c r="B83" i="5"/>
  <c r="G83" i="5" s="1"/>
  <c r="I83" i="5"/>
  <c r="B79" i="5"/>
  <c r="G79" i="5" s="1"/>
  <c r="I79" i="5"/>
  <c r="B75" i="5"/>
  <c r="G75" i="5" s="1"/>
  <c r="I75" i="5"/>
  <c r="B71" i="5"/>
  <c r="I71" i="5"/>
  <c r="B67" i="5"/>
  <c r="I67" i="5"/>
  <c r="B63" i="5"/>
  <c r="I63" i="5"/>
  <c r="B59" i="5"/>
  <c r="G59" i="5" s="1"/>
  <c r="I59" i="5"/>
  <c r="B55" i="5"/>
  <c r="G55" i="5" s="1"/>
  <c r="I55" i="5"/>
  <c r="B51" i="5"/>
  <c r="G51" i="5" s="1"/>
  <c r="I51" i="5"/>
  <c r="B47" i="5"/>
  <c r="G47" i="5" s="1"/>
  <c r="I47" i="5"/>
  <c r="B43" i="5"/>
  <c r="G43" i="5" s="1"/>
  <c r="I43" i="5"/>
  <c r="B39" i="5"/>
  <c r="I39" i="5"/>
  <c r="B35" i="5"/>
  <c r="I35" i="5"/>
  <c r="B31" i="5"/>
  <c r="I31" i="5"/>
  <c r="B27" i="5"/>
  <c r="G27" i="5" s="1"/>
  <c r="I27" i="5"/>
  <c r="B23" i="5"/>
  <c r="G23" i="5" s="1"/>
  <c r="I23" i="5"/>
  <c r="B19" i="5"/>
  <c r="G19" i="5" s="1"/>
  <c r="I19" i="5"/>
  <c r="B15" i="5"/>
  <c r="G15" i="5" s="1"/>
  <c r="I15" i="5"/>
  <c r="B163" i="5"/>
  <c r="G163" i="5" s="1"/>
  <c r="B144" i="5"/>
  <c r="G144" i="5" s="1"/>
  <c r="I137" i="5"/>
  <c r="B128" i="5"/>
  <c r="G128" i="5" s="1"/>
  <c r="I121" i="5"/>
  <c r="B118" i="5"/>
  <c r="B114" i="5"/>
  <c r="G114" i="5" s="1"/>
  <c r="B110" i="5"/>
  <c r="B106" i="5"/>
  <c r="G106" i="5" s="1"/>
  <c r="B102" i="5"/>
  <c r="B98" i="5"/>
  <c r="B94" i="5"/>
  <c r="B90" i="5"/>
  <c r="B86" i="5"/>
  <c r="B82" i="5"/>
  <c r="G82" i="5" s="1"/>
  <c r="B78" i="5"/>
  <c r="B74" i="5"/>
  <c r="G74" i="5" s="1"/>
  <c r="B70" i="5"/>
  <c r="B66" i="5"/>
  <c r="B62" i="5"/>
  <c r="B58" i="5"/>
  <c r="B54" i="5"/>
  <c r="B50" i="5"/>
  <c r="G50" i="5" s="1"/>
  <c r="B46" i="5"/>
  <c r="B42" i="5"/>
  <c r="G42" i="5" s="1"/>
  <c r="B38" i="5"/>
  <c r="B34" i="5"/>
  <c r="B30" i="5"/>
  <c r="B26" i="5"/>
  <c r="B22" i="5"/>
  <c r="B18" i="5"/>
  <c r="G18" i="5" s="1"/>
  <c r="B14" i="5"/>
  <c r="B10" i="5"/>
  <c r="G6" i="5"/>
  <c r="G2" i="5"/>
  <c r="I11" i="5"/>
  <c r="I9" i="5"/>
  <c r="I7" i="5"/>
  <c r="I5" i="5"/>
  <c r="I3" i="5"/>
  <c r="G33" i="5" l="1"/>
  <c r="G65" i="5"/>
  <c r="G97" i="5"/>
  <c r="G31" i="5"/>
  <c r="G63" i="5"/>
  <c r="G95" i="5"/>
  <c r="G21" i="5"/>
  <c r="G37" i="5"/>
  <c r="G69" i="5"/>
  <c r="G101" i="5"/>
  <c r="G177" i="5"/>
  <c r="G22" i="5"/>
  <c r="G54" i="5"/>
  <c r="G86" i="5"/>
  <c r="G118" i="5"/>
  <c r="G166" i="5"/>
  <c r="G187" i="5"/>
  <c r="G102" i="5"/>
  <c r="G127" i="5"/>
  <c r="G154" i="5"/>
  <c r="G155" i="5"/>
  <c r="G58" i="5"/>
  <c r="G35" i="5"/>
  <c r="G41" i="5"/>
  <c r="G66" i="5"/>
  <c r="G71" i="5"/>
  <c r="G103" i="5"/>
  <c r="G20" i="5"/>
  <c r="G52" i="5"/>
  <c r="G84" i="5"/>
  <c r="G116" i="5"/>
  <c r="G13" i="5"/>
  <c r="G29" i="5"/>
  <c r="G45" i="5"/>
  <c r="G61" i="5"/>
  <c r="G77" i="5"/>
  <c r="G93" i="5"/>
  <c r="G109" i="5"/>
  <c r="G193" i="5"/>
  <c r="G179" i="5"/>
  <c r="G8" i="5"/>
  <c r="G7" i="5"/>
  <c r="G90" i="5"/>
  <c r="G99" i="5"/>
  <c r="G57" i="5"/>
  <c r="G34" i="5"/>
  <c r="G98" i="5"/>
  <c r="G39" i="5"/>
  <c r="G38" i="5"/>
  <c r="G70" i="5"/>
  <c r="G24" i="5"/>
  <c r="G56" i="5"/>
  <c r="G88" i="5"/>
  <c r="G174" i="5"/>
  <c r="G173" i="5"/>
  <c r="G183" i="5"/>
  <c r="G10" i="5"/>
  <c r="G9" i="5"/>
  <c r="G17" i="5"/>
  <c r="G49" i="5"/>
  <c r="G81" i="5"/>
  <c r="G113" i="5"/>
  <c r="G14" i="5"/>
  <c r="G46" i="5"/>
  <c r="G78" i="5"/>
  <c r="G110" i="5"/>
  <c r="G32" i="5"/>
  <c r="G64" i="5"/>
  <c r="G96" i="5"/>
  <c r="G139" i="5"/>
  <c r="G135" i="5"/>
  <c r="G191" i="5"/>
  <c r="G53" i="5"/>
  <c r="G85" i="5"/>
  <c r="G117" i="5"/>
  <c r="G162" i="5"/>
  <c r="G195" i="5"/>
  <c r="G123" i="5"/>
  <c r="G26" i="5"/>
  <c r="G67" i="5"/>
  <c r="G12" i="5"/>
  <c r="G11" i="5"/>
  <c r="G25" i="5"/>
  <c r="G181" i="5"/>
  <c r="G170" i="5"/>
  <c r="G73" i="5"/>
  <c r="G89" i="5"/>
  <c r="G105" i="5"/>
  <c r="G30" i="5"/>
  <c r="G62" i="5"/>
  <c r="G94" i="5"/>
  <c r="G16" i="5"/>
  <c r="G48" i="5"/>
  <c r="G80" i="5"/>
  <c r="G112" i="5"/>
  <c r="G158" i="5"/>
  <c r="G157" i="5"/>
  <c r="G189" i="5"/>
  <c r="G175" i="5"/>
  <c r="G185" i="5"/>
  <c r="M28" i="2" l="1"/>
  <c r="N22" i="2"/>
  <c r="N20" i="2"/>
  <c r="N16" i="2"/>
  <c r="N12" i="2"/>
  <c r="W34" i="1" l="1"/>
  <c r="W33" i="1"/>
  <c r="W32" i="1"/>
  <c r="W31" i="1"/>
  <c r="B10" i="1" l="1"/>
  <c r="B6" i="1"/>
  <c r="J28" i="1" l="1"/>
  <c r="I34" i="1" l="1"/>
  <c r="I32" i="1"/>
  <c r="B26" i="1" l="1"/>
  <c r="B25" i="1"/>
  <c r="B19" i="1" l="1"/>
  <c r="B20" i="1"/>
  <c r="B21" i="1"/>
  <c r="B22" i="1"/>
  <c r="B23" i="1"/>
  <c r="B24" i="1"/>
  <c r="B12" i="1"/>
  <c r="B18" i="1"/>
  <c r="B17" i="1"/>
  <c r="B16" i="1"/>
  <c r="B15" i="1"/>
  <c r="B14" i="1"/>
  <c r="B13" i="1"/>
  <c r="B11" i="1"/>
  <c r="B9" i="1"/>
  <c r="B8" i="1"/>
  <c r="B7" i="1"/>
</calcChain>
</file>

<file path=xl/sharedStrings.xml><?xml version="1.0" encoding="utf-8"?>
<sst xmlns="http://schemas.openxmlformats.org/spreadsheetml/2006/main" count="1042" uniqueCount="507">
  <si>
    <t>ENGINE</t>
    <phoneticPr fontId="1" type="noConversion"/>
  </si>
  <si>
    <t>postgres</t>
    <phoneticPr fontId="1" type="noConversion"/>
  </si>
  <si>
    <t>DATA</t>
    <phoneticPr fontId="1" type="noConversion"/>
  </si>
  <si>
    <t>'*'</t>
  </si>
  <si>
    <t>port</t>
  </si>
  <si>
    <t>log_line_prefix</t>
  </si>
  <si>
    <t>10min</t>
  </si>
  <si>
    <t>on</t>
  </si>
  <si>
    <t>postgresql-%Y-%m-%d_%H%M%S.log'</t>
  </si>
  <si>
    <t>3s</t>
  </si>
  <si>
    <t>%t[%p]:[%a-%u@%r:%d]'</t>
  </si>
  <si>
    <t>50MB</t>
  </si>
  <si>
    <t>all</t>
  </si>
  <si>
    <t>listen_addresses</t>
  </si>
  <si>
    <t>max_connections</t>
  </si>
  <si>
    <t>shared_buffers</t>
  </si>
  <si>
    <t>work_mem</t>
  </si>
  <si>
    <t>shared_preload_libraries</t>
  </si>
  <si>
    <t>checkpoint_timeout</t>
  </si>
  <si>
    <t>checkpoint_completion_target</t>
  </si>
  <si>
    <t>archive_mode</t>
  </si>
  <si>
    <t>archive_command</t>
  </si>
  <si>
    <t>max_wal_senders</t>
  </si>
  <si>
    <t>random_page_cost</t>
  </si>
  <si>
    <t>effective_cache_size</t>
  </si>
  <si>
    <t>log_destination</t>
  </si>
  <si>
    <t>logging_collector</t>
  </si>
  <si>
    <t>log_directory</t>
  </si>
  <si>
    <t>log_filename</t>
  </si>
  <si>
    <t>log_min_duration_statement</t>
  </si>
  <si>
    <t>log_lock_waits</t>
  </si>
  <si>
    <t>log_temp_files</t>
  </si>
  <si>
    <t>track_activity_query_size</t>
  </si>
  <si>
    <t>pg_stat_statements.max</t>
  </si>
  <si>
    <t>pg_stat_statements.track</t>
  </si>
  <si>
    <t>wal_level</t>
    <phoneticPr fontId="1" type="noConversion"/>
  </si>
  <si>
    <t>checkpoint_segments</t>
    <phoneticPr fontId="1" type="noConversion"/>
  </si>
  <si>
    <t>max_wal_size</t>
    <phoneticPr fontId="1" type="noConversion"/>
  </si>
  <si>
    <t>min_wal_size</t>
    <phoneticPr fontId="1" type="noConversion"/>
  </si>
  <si>
    <t>9.4~9.5 : hot_standby, 9.6~ : replica</t>
    <phoneticPr fontId="1" type="noConversion"/>
  </si>
  <si>
    <t>9.4 : 128</t>
    <phoneticPr fontId="1" type="noConversion"/>
  </si>
  <si>
    <t>WAL</t>
    <phoneticPr fontId="1" type="noConversion"/>
  </si>
  <si>
    <t>ARCHIVE</t>
    <phoneticPr fontId="1" type="noConversion"/>
  </si>
  <si>
    <t>TABLESPACE</t>
    <phoneticPr fontId="1" type="noConversion"/>
  </si>
  <si>
    <t>pg_hba.conf</t>
    <phoneticPr fontId="1" type="noConversion"/>
  </si>
  <si>
    <t>.pgpass</t>
    <phoneticPr fontId="1" type="noConversion"/>
  </si>
  <si>
    <t>LOG</t>
    <phoneticPr fontId="1" type="noConversion"/>
  </si>
  <si>
    <t>LOCALE</t>
    <phoneticPr fontId="1" type="noConversion"/>
  </si>
  <si>
    <t>MAX_CONNECTION</t>
    <phoneticPr fontId="1" type="noConversion"/>
  </si>
  <si>
    <t>PGPORT</t>
    <phoneticPr fontId="1" type="noConversion"/>
  </si>
  <si>
    <t>PGDATA</t>
    <phoneticPr fontId="1" type="noConversion"/>
  </si>
  <si>
    <t>PGWAL</t>
    <phoneticPr fontId="1" type="noConversion"/>
  </si>
  <si>
    <t>PGARCH</t>
    <phoneticPr fontId="1" type="noConversion"/>
  </si>
  <si>
    <t>PGLOG</t>
    <phoneticPr fontId="1" type="noConversion"/>
  </si>
  <si>
    <t>DB_VERSION</t>
    <phoneticPr fontId="1" type="noConversion"/>
  </si>
  <si>
    <t>OSUSER</t>
    <phoneticPr fontId="1" type="noConversion"/>
  </si>
  <si>
    <t>OSPASS</t>
    <phoneticPr fontId="1" type="noConversion"/>
  </si>
  <si>
    <t>PGUSER</t>
    <phoneticPr fontId="1" type="noConversion"/>
  </si>
  <si>
    <t>PGPASS</t>
    <phoneticPr fontId="1" type="noConversion"/>
  </si>
  <si>
    <t>PGDATABASE</t>
    <phoneticPr fontId="1" type="noConversion"/>
  </si>
  <si>
    <t>OS_type</t>
    <phoneticPr fontId="1" type="noConversion"/>
  </si>
  <si>
    <t>Server_IP</t>
    <phoneticPr fontId="1" type="noConversion"/>
  </si>
  <si>
    <t>root_password</t>
    <phoneticPr fontId="1" type="noConversion"/>
  </si>
  <si>
    <t>PARAMETER_ADD</t>
    <phoneticPr fontId="1" type="noConversion"/>
  </si>
  <si>
    <t>HOSTNAME</t>
    <phoneticPr fontId="1" type="noConversion"/>
  </si>
  <si>
    <t>CentOS_6_32bit</t>
  </si>
  <si>
    <t>INSTALL_DIR</t>
    <phoneticPr fontId="1" type="noConversion"/>
  </si>
  <si>
    <t>libicu</t>
  </si>
  <si>
    <t>6</t>
  </si>
  <si>
    <t>i686</t>
  </si>
  <si>
    <t>libxslt</t>
  </si>
  <si>
    <t>perl</t>
  </si>
  <si>
    <t>perl-libs</t>
  </si>
  <si>
    <t>perl-Module-Pluggable</t>
  </si>
  <si>
    <t>perl-Pod-Escapes</t>
  </si>
  <si>
    <t>perl-Pod-Simple</t>
  </si>
  <si>
    <t>perl-version</t>
  </si>
  <si>
    <t>postgresql10</t>
  </si>
  <si>
    <t>postgresql10-contrib</t>
  </si>
  <si>
    <t>postgresql10-libs</t>
  </si>
  <si>
    <t>postgresql10-server</t>
  </si>
  <si>
    <t>postgresql11</t>
  </si>
  <si>
    <t>postgresql11-contrib</t>
  </si>
  <si>
    <t>postgresql11-libs</t>
  </si>
  <si>
    <t>postgresql11-server</t>
  </si>
  <si>
    <t>postgresql12</t>
  </si>
  <si>
    <t>postgresql12-contrib</t>
  </si>
  <si>
    <t>postgresql12-libs</t>
  </si>
  <si>
    <t>postgresql12-server</t>
  </si>
  <si>
    <t>postgresql94</t>
  </si>
  <si>
    <t>postgresql94-contrib</t>
  </si>
  <si>
    <t>postgresql94-libs</t>
  </si>
  <si>
    <t>postgresql94-server</t>
  </si>
  <si>
    <t>postgresql95</t>
  </si>
  <si>
    <t>postgresql95-contrib</t>
  </si>
  <si>
    <t>postgresql95-libs</t>
  </si>
  <si>
    <t>postgresql95-server</t>
  </si>
  <si>
    <t>postgresql96</t>
  </si>
  <si>
    <t>postgresql96-contrib</t>
  </si>
  <si>
    <t>postgresql96-libs</t>
  </si>
  <si>
    <t>postgresql96-server</t>
  </si>
  <si>
    <t>libicu-doc</t>
  </si>
  <si>
    <t>noarch</t>
  </si>
  <si>
    <t>x86_64</t>
  </si>
  <si>
    <t>7</t>
  </si>
  <si>
    <t>perl-Carp</t>
  </si>
  <si>
    <t>perl-constant</t>
  </si>
  <si>
    <t>perl-Exporter</t>
  </si>
  <si>
    <t>perl-File-Path</t>
  </si>
  <si>
    <t>perl-File-Temp</t>
  </si>
  <si>
    <t>perl-Getopt-Long</t>
  </si>
  <si>
    <t>perl-HTTP-Tiny</t>
  </si>
  <si>
    <t>perl-parent</t>
  </si>
  <si>
    <t>perl-podlators</t>
  </si>
  <si>
    <t>perl-Pod-Perldoc</t>
  </si>
  <si>
    <t>perl-Pod-Usage</t>
  </si>
  <si>
    <t>perl-Text-ParseWords</t>
  </si>
  <si>
    <t>perl-Time-Local</t>
  </si>
  <si>
    <t>perl-Encode</t>
  </si>
  <si>
    <t>perl-Filter</t>
  </si>
  <si>
    <t>perl-macros</t>
  </si>
  <si>
    <t>perl-PathTools</t>
  </si>
  <si>
    <t>perl-Scalar-List-Utils</t>
  </si>
  <si>
    <t>perl-Socket</t>
  </si>
  <si>
    <t>perl-Storable</t>
  </si>
  <si>
    <t>perl-threads</t>
  </si>
  <si>
    <t>perl-threads-shared</t>
  </si>
  <si>
    <t>perl-Time-HiRes</t>
  </si>
  <si>
    <t>8</t>
  </si>
  <si>
    <t>perl-Term-ANSIColor</t>
  </si>
  <si>
    <t>perl-Term-Cap</t>
  </si>
  <si>
    <t>python2-pip-wheel</t>
  </si>
  <si>
    <t>python2-setuptools-wheel</t>
  </si>
  <si>
    <t>perl-Errno</t>
  </si>
  <si>
    <t>perl-interpreter</t>
  </si>
  <si>
    <t>perl-IO</t>
  </si>
  <si>
    <t>perl-MIME-Base64</t>
  </si>
  <si>
    <t>perl-Unicode-Normalize</t>
  </si>
  <si>
    <t>python2-libs</t>
  </si>
  <si>
    <t>perl-Text-Tabs+Wrap</t>
    <phoneticPr fontId="1" type="noConversion"/>
  </si>
  <si>
    <t>curl -O http://mirror.kakao.com/centos/6/os/i386/Packages/perl-libs-5.10.1-144.el6.i686.rpm</t>
  </si>
  <si>
    <t>curl -O http://mirror.kakao.com/centos/6/os/i386/Packages/perl-Module-Pluggable-3.90-144.el6.i686.rpm</t>
  </si>
  <si>
    <t>curl -O http://mirror.kakao.com/centos/6/os/i386/Packages/perl-Pod-Escapes-1.04-144.el6.i686.rpm</t>
  </si>
  <si>
    <t>curl -O http://mirror.kakao.com/centos/6/os/i386/Packages/perl-Pod-Simple-3.13-144.el6.i686.rpm</t>
  </si>
  <si>
    <t>curl -O http://mirror.kakao.com/centos/6/os/i386/Packages/perl-version-0.77-144.el6.i686.rpm</t>
  </si>
  <si>
    <t>curl -O https://download.postgresql.org/pub/repos/yum/10/redhat/rhel-6Server-i386/postgresql10-contrib-10.9-1PGDG.rhel6.i686.rpm</t>
  </si>
  <si>
    <t>curl -O https://download.postgresql.org/pub/repos/yum/10/redhat/rhel-6Server-i386/postgresql10-libs-10.9-1PGDG.rhel6.i686.rpm</t>
  </si>
  <si>
    <t>curl -O https://download.postgresql.org/pub/repos/yum/10/redhat/rhel-6Server-i386/postgresql10-server-10.9-1PGDG.rhel6.i686.rpm</t>
  </si>
  <si>
    <t>curl -O https://download.postgresql.org/pub/repos/yum/11/redhat/rhel-6Server-i386/postgresql11-contrib-11.8-1PGDG.rhel6.i686.rpm</t>
  </si>
  <si>
    <t>curl -O https://download.postgresql.org/pub/repos/yum/11/redhat/rhel-6Server-i386/postgresql11-libs-11.8-1PGDG.rhel6.i686.rpm</t>
  </si>
  <si>
    <t>curl -O https://download.postgresql.org/pub/repos/yum/11/redhat/rhel-6Server-i386/postgresql11-server-11.8-1PGDG.rhel6.i686.rpm</t>
  </si>
  <si>
    <t>curl -O https://download.postgresql.org/pub/repos/yum/9.4/redhat/rhel-6Server-i386/postgresql94-contrib-9.4.26-1PGDG.rhel6.i686.rpm</t>
  </si>
  <si>
    <t>curl -O https://download.postgresql.org/pub/repos/yum/9.4/redhat/rhel-6Server-i386/postgresql94-libs-9.4.26-1PGDG.rhel6.i686.rpm</t>
  </si>
  <si>
    <t>curl -O https://download.postgresql.org/pub/repos/yum/9.4/redhat/rhel-6Server-i386/postgresql94-server-9.4.26-1PGDG.rhel6.i686.rpm</t>
  </si>
  <si>
    <t>curl -O https://download.postgresql.org/pub/repos/yum/9.5/redhat/rhel-6Server-i386/postgresql95-contrib-9.5.22-1PGDG.rhel6.i686.rpm</t>
  </si>
  <si>
    <t>curl -O https://download.postgresql.org/pub/repos/yum/9.5/redhat/rhel-6Server-i386/postgresql95-libs-9.5.22-1PGDG.rhel6.i686.rpm</t>
  </si>
  <si>
    <t>curl -O https://download.postgresql.org/pub/repos/yum/9.5/redhat/rhel-6Server-i386/postgresql95-server-9.5.22-1PGDG.rhel6.i686.rpm</t>
  </si>
  <si>
    <t>curl -O https://download.postgresql.org/pub/repos/yum/9.6/redhat/rhel-6Server-i386/postgresql96-contrib-9.6.18-1PGDG.rhel6.i686.rpm</t>
  </si>
  <si>
    <t>curl -O https://download.postgresql.org/pub/repos/yum/9.6/redhat/rhel-6Server-i386/postgresql96-libs-9.6.18-1PGDG.rhel6.i686.rpm</t>
  </si>
  <si>
    <t>curl -O https://download.postgresql.org/pub/repos/yum/9.6/redhat/rhel-6Server-i386/postgresql96-server-9.6.18-1PGDG.rhel6.i686.rpm</t>
  </si>
  <si>
    <t>curl -O http://mirror.kakao.com/centos/6/os/x86_64/Packages/libicu-doc-4.2.1-14.el6.noarch.rpm</t>
  </si>
  <si>
    <t>curl -O http://mirror.kakao.com/centos/6/os/x86_64/Packages/perl-libs-5.10.1-144.el6.x86_64.rpm</t>
  </si>
  <si>
    <t>curl -O http://mirror.kakao.com/centos/6/os/x86_64/Packages/perl-Module-Pluggable-3.90-144.el6.x86_64.rpm</t>
  </si>
  <si>
    <t>curl -O http://mirror.kakao.com/centos/6/os/x86_64/Packages/perl-Pod-Escapes-1.04-144.el6.x86_64.rpm</t>
  </si>
  <si>
    <t>curl -O http://mirror.kakao.com/centos/6/os/x86_64/Packages/perl-Pod-Simple-3.13-144.el6.x86_64.rpm</t>
  </si>
  <si>
    <t>curl -O http://mirror.kakao.com/centos/6/os/x86_64/Packages/perl-version-0.77-144.el6.x86_64.rpm</t>
  </si>
  <si>
    <t>curl -O https://download.postgresql.org/pub/repos/yum/10/redhat/rhel-6Server-x86_64/postgresql10-contrib-10.9-1PGDG.rhel6.x86_64.rpm</t>
  </si>
  <si>
    <t>curl -O https://download.postgresql.org/pub/repos/yum/10/redhat/rhel-6Server-x86_64/postgresql10-libs-10.9-1PGDG.rhel6.x86_64.rpm</t>
  </si>
  <si>
    <t>curl -O https://download.postgresql.org/pub/repos/yum/10/redhat/rhel-6Server-x86_64/postgresql10-server-10.9-1PGDG.rhel6.x86_64.rpm</t>
  </si>
  <si>
    <t>curl -O https://download.postgresql.org/pub/repos/yum/11/redhat/rhel-6Server-x86_64/postgresql11-contrib-11.8-1PGDG.rhel6.x86_64.rpm</t>
  </si>
  <si>
    <t>curl -O https://download.postgresql.org/pub/repos/yum/11/redhat/rhel-6Server-x86_64/postgresql11-libs-11.8-1PGDG.rhel6.x86_64.rpm</t>
  </si>
  <si>
    <t>curl -O https://download.postgresql.org/pub/repos/yum/11/redhat/rhel-6Server-x86_64/postgresql11-server-11.8-1PGDG.rhel6.x86_64.rpm</t>
  </si>
  <si>
    <t>curl -O https://download.postgresql.org/pub/repos/yum/9.4/redhat/rhel-6Server-x86_64/postgresql94-contrib-9.4.26-1PGDG.rhel6.x86_64.rpm</t>
  </si>
  <si>
    <t>curl -O https://download.postgresql.org/pub/repos/yum/9.4/redhat/rhel-6Server-x86_64/postgresql94-libs-9.4.26-1PGDG.rhel6.x86_64.rpm</t>
  </si>
  <si>
    <t>curl -O https://download.postgresql.org/pub/repos/yum/9.4/redhat/rhel-6Server-x86_64/postgresql94-server-9.4.26-1PGDG.rhel6.x86_64.rpm</t>
  </si>
  <si>
    <t>curl -O https://download.postgresql.org/pub/repos/yum/9.5/redhat/rhel-6Server-x86_64/postgresql95-contrib-9.5.22-1PGDG.rhel6.x86_64.rpm</t>
  </si>
  <si>
    <t>curl -O https://download.postgresql.org/pub/repos/yum/9.5/redhat/rhel-6Server-x86_64/postgresql95-libs-9.5.22-1PGDG.rhel6.x86_64.rpm</t>
  </si>
  <si>
    <t>curl -O https://download.postgresql.org/pub/repos/yum/9.5/redhat/rhel-6Server-x86_64/postgresql95-server-9.5.22-1PGDG.rhel6.x86_64.rpm</t>
  </si>
  <si>
    <t>curl -O https://download.postgresql.org/pub/repos/yum/9.6/redhat/rhel-6Server-x86_64/postgresql96-contrib-9.6.18-1PGDG.rhel6.x86_64.rpm</t>
  </si>
  <si>
    <t>curl -O https://download.postgresql.org/pub/repos/yum/9.6/redhat/rhel-6Server-x86_64/postgresql96-libs-9.6.18-1PGDG.rhel6.x86_64.rpm</t>
  </si>
  <si>
    <t>curl -O https://download.postgresql.org/pub/repos/yum/9.6/redhat/rhel-6Server-x86_64/postgresql96-server-9.6.18-1PGDG.rhel6.x86_64.rpm</t>
  </si>
  <si>
    <t>curl -O http://mirror.kakao.com/centos/7/os/x86_64/Packages/perl-libs-5.16.3-295.el7.i686.rpm</t>
  </si>
  <si>
    <t>curl -O http://mirror.kakao.com/centos/7/os/x86_64/Packages/libicu-doc-50.2-3.el7.noarch.rpm</t>
  </si>
  <si>
    <t>curl -O http://mirror.kakao.com/centos/7/os/x86_64/Packages/perl-constant-1.27-2.el7.noarch.rpm</t>
  </si>
  <si>
    <t>curl -O http://mirror.kakao.com/centos/7/os/x86_64/Packages/perl-Exporter-5.68-3.el7.noarch.rpm</t>
  </si>
  <si>
    <t>curl -O http://mirror.kakao.com/centos/7/os/x86_64/Packages/perl-File-Path-2.09-2.el7.noarch.rpm</t>
  </si>
  <si>
    <t>curl -O http://mirror.kakao.com/centos/7/os/x86_64/Packages/perl-File-Temp-0.23.01-3.el7.noarch.rpm</t>
  </si>
  <si>
    <t>curl -O http://mirror.kakao.com/centos/7/os/x86_64/Packages/perl-Getopt-Long-2.40-3.el7.noarch.rpm</t>
  </si>
  <si>
    <t>curl -O http://mirror.kakao.com/centos/7/os/x86_64/Packages/perl-HTTP-Tiny-0.033-3.el7.noarch.rpm</t>
  </si>
  <si>
    <t>curl -O http://mirror.kakao.com/centos/7/os/x86_64/Packages/perl-Module-Pluggable-4.8-3.el7.noarch.rpm</t>
  </si>
  <si>
    <t>curl -O http://mirror.kakao.com/centos/7/os/x86_64/Packages/perl-parent-0.225-244.el7.noarch.rpm</t>
  </si>
  <si>
    <t>curl -O http://mirror.kakao.com/centos/7/os/x86_64/Packages/perl-Pod-Escapes-1.04-295.el7.noarch.rpm</t>
  </si>
  <si>
    <t>curl -O http://mirror.kakao.com/centos/7/os/x86_64/Packages/perl-podlators-2.5.1-3.el7.noarch.rpm</t>
  </si>
  <si>
    <t>curl -O http://mirror.kakao.com/centos/7/os/x86_64/Packages/perl-Pod-Perldoc-3.20-4.el7.noarch.rpm</t>
  </si>
  <si>
    <t>curl -O http://mirror.kakao.com/centos/7/os/x86_64/Packages/perl-Pod-Simple-3.28-4.el7.noarch.rpm</t>
  </si>
  <si>
    <t>curl -O http://mirror.kakao.com/centos/7/os/x86_64/Packages/perl-Pod-Usage-1.63-3.el7.noarch.rpm</t>
  </si>
  <si>
    <t>curl -O http://mirror.kakao.com/centos/7/os/x86_64/Packages/perl-Text-ParseWords-3.29-4.el7.noarch.rpm</t>
  </si>
  <si>
    <t>curl -O http://mirror.kakao.com/centos/7/os/x86_64/Packages/perl-Time-Local-1.2300-2.el7.noarch.rpm</t>
  </si>
  <si>
    <t>curl -O http://mirror.kakao.com/centos/7/os/x86_64/Packages/perl-Filter-1.49-3.el7.x86_64.rpm</t>
  </si>
  <si>
    <t>curl -O http://mirror.kakao.com/centos/7/os/x86_64/Packages/perl-libs-5.16.3-295.el7.x86_64.rpm</t>
  </si>
  <si>
    <t>curl -O http://mirror.kakao.com/centos/7/os/x86_64/Packages/perl-macros-5.16.3-295.el7.x86_64.rpm</t>
  </si>
  <si>
    <t>curl -O http://mirror.kakao.com/centos/7/os/x86_64/Packages/perl-PathTools-3.40-5.el7.x86_64.rpm</t>
  </si>
  <si>
    <t>curl -O http://mirror.kakao.com/centos/7/os/x86_64/Packages/perl-Scalar-List-Utils-1.27-248.el7.x86_64.rpm</t>
  </si>
  <si>
    <t>curl -O http://mirror.kakao.com/centos/7/os/x86_64/Packages/perl-Storable-2.45-3.el7.x86_64.rpm</t>
  </si>
  <si>
    <t>curl -O http://mirror.kakao.com/centos/7/os/x86_64/Packages/perl-threads-shared-1.43-6.el7.x86_64.rpm</t>
  </si>
  <si>
    <t>curl -O http://mirror.kakao.com/centos/7/os/x86_64/Packages/perl-Time-HiRes-1.9725-3.el7.x86_64.rpm</t>
  </si>
  <si>
    <t>curl -O http://mirror.kakao.com/centos/7/os/x86_64/Packages/perl-version-0.99.07-6.el7.x86_64.rpm</t>
  </si>
  <si>
    <t>curl -O https://download.postgresql.org/pub/repos/yum/10/redhat/rhel-7Server-x86_64/postgresql10-contrib-10.9-1PGDG.rhel7.x86_64.rpm</t>
  </si>
  <si>
    <t>curl -O https://download.postgresql.org/pub/repos/yum/10/redhat/rhel-7Server-x86_64/postgresql10-libs-10.9-1PGDG.rhel7.x86_64.rpm</t>
  </si>
  <si>
    <t>curl -O https://download.postgresql.org/pub/repos/yum/10/redhat/rhel-7Server-x86_64/postgresql10-server-10.9-1PGDG.rhel7.x86_64.rpm</t>
  </si>
  <si>
    <t>curl -O https://download.postgresql.org/pub/repos/yum/11/redhat/rhel-7Server-x86_64/postgresql11-contrib-11.8-1PGDG.rhel7.x86_64.rpm</t>
  </si>
  <si>
    <t>curl -O https://download.postgresql.org/pub/repos/yum/11/redhat/rhel-7Server-x86_64/postgresql11-libs-11.8-1PGDG.rhel7.x86_64.rpm</t>
  </si>
  <si>
    <t>curl -O https://download.postgresql.org/pub/repos/yum/11/redhat/rhel-7Server-x86_64/postgresql11-server-11.8-1PGDG.rhel7.x86_64.rpm</t>
  </si>
  <si>
    <t>curl -O https://download.postgresql.org/pub/repos/yum/9.4/redhat/rhel-7Server-x86_64/postgresql94-contrib-9.4.26-1PGDG.rhel7.x86_64.rpm</t>
  </si>
  <si>
    <t>curl -O https://download.postgresql.org/pub/repos/yum/9.4/redhat/rhel-7Server-x86_64/postgresql94-libs-9.4.26-1PGDG.rhel7.x86_64.rpm</t>
  </si>
  <si>
    <t>curl -O https://download.postgresql.org/pub/repos/yum/9.4/redhat/rhel-7Server-x86_64/postgresql94-server-9.4.26-1PGDG.rhel7.x86_64.rpm</t>
  </si>
  <si>
    <t>curl -O https://download.postgresql.org/pub/repos/yum/9.5/redhat/rhel-7Server-x86_64/postgresql95-contrib-9.5.22-1PGDG.rhel7.x86_64.rpm</t>
  </si>
  <si>
    <t>curl -O https://download.postgresql.org/pub/repos/yum/9.5/redhat/rhel-7Server-x86_64/postgresql95-libs-9.5.22-1PGDG.rhel7.x86_64.rpm</t>
  </si>
  <si>
    <t>curl -O https://download.postgresql.org/pub/repos/yum/9.5/redhat/rhel-7Server-x86_64/postgresql95-server-9.5.22-1PGDG.rhel7.x86_64.rpm</t>
  </si>
  <si>
    <t>curl -O https://download.postgresql.org/pub/repos/yum/9.6/redhat/rhel-7Server-x86_64/postgresql96-contrib-9.6.18-1PGDG.rhel7.x86_64.rpm</t>
  </si>
  <si>
    <t>curl -O https://download.postgresql.org/pub/repos/yum/9.6/redhat/rhel-7Server-x86_64/postgresql96-libs-9.6.18-1PGDG.rhel7.x86_64.rpm</t>
  </si>
  <si>
    <t>curl -O https://download.postgresql.org/pub/repos/yum/9.6/redhat/rhel-7Server-x86_64/postgresql96-server-9.6.18-1PGDG.rhel7.x86_64.rpm</t>
  </si>
  <si>
    <t>curl -O http://mirror.kakao.com/centos/8/BaseOS/x86_64/os/Packages/perl-libs-5.26.3-416.el8.i686.rpm</t>
  </si>
  <si>
    <t>curl -O http://mirror.kakao.com/centos/8/BaseOS/x86_64/os/Packages/libicu-doc-60.3-2.el8_1.noarch.rpm</t>
  </si>
  <si>
    <t>curl -O http://mirror.kakao.com/centos/8/BaseOS/x86_64/os/Packages/perl-constant-1.33-396.el8.noarch.rpm</t>
  </si>
  <si>
    <t>curl -O http://mirror.kakao.com/centos/8/BaseOS/x86_64/os/Packages/perl-Exporter-5.72-396.el8.noarch.rpm</t>
  </si>
  <si>
    <t>curl -O http://mirror.kakao.com/centos/8/BaseOS/x86_64/os/Packages/perl-File-Path-2.15-2.el8.noarch.rpm</t>
  </si>
  <si>
    <t>curl -O http://mirror.kakao.com/centos/8/BaseOS/x86_64/os/Packages/perl-Getopt-Long-2.50-4.el8.noarch.rpm</t>
  </si>
  <si>
    <t>curl -O http://mirror.kakao.com/centos/8/BaseOS/x86_64/os/Packages/perl-HTTP-Tiny-0.074-1.el8.noarch.rpm</t>
  </si>
  <si>
    <t>curl -O http://mirror.kakao.com/centos/8/BaseOS/x86_64/os/Packages/perl-podlators-4.11-1.el8.noarch.rpm</t>
  </si>
  <si>
    <t>curl -O http://mirror.kakao.com/centos/8/BaseOS/x86_64/os/Packages/perl-Pod-Simple-3.35-395.el8.noarch.rpm</t>
  </si>
  <si>
    <t>curl -O http://mirror.kakao.com/centos/8/BaseOS/x86_64/os/Packages/perl-Errno-1.28-416.el8.x86_64.rpm</t>
  </si>
  <si>
    <t>curl -O http://mirror.kakao.com/centos/8/BaseOS/x86_64/os/Packages/perl-interpreter-5.26.3-416.el8.x86_64.rpm</t>
  </si>
  <si>
    <t>curl -O http://mirror.kakao.com/centos/8/BaseOS/x86_64/os/Packages/perl-IO-1.38-416.el8.x86_64.rpm</t>
  </si>
  <si>
    <t>curl -O http://mirror.kakao.com/centos/8/BaseOS/x86_64/os/Packages/perl-libs-5.26.3-416.el8.x86_64.rpm</t>
  </si>
  <si>
    <t>curl -O http://mirror.kakao.com/centos/8/BaseOS/x86_64/os/Packages/perl-macros-5.26.3-416.el8.x86_64.rpm</t>
  </si>
  <si>
    <t>curl -O http://mirror.kakao.com/centos/8/BaseOS/x86_64/os/Packages/perl-MIME-Base64-3.15-396.el8.x86_64.rpm</t>
  </si>
  <si>
    <t>curl -O http://mirror.kakao.com/centos/8/BaseOS/x86_64/os/Packages/perl-PathTools-3.74-1.el8.x86_64.rpm</t>
  </si>
  <si>
    <t>curl -O http://mirror.kakao.com/centos/8/BaseOS/x86_64/os/Packages/perl-Scalar-List-Utils-1.49-2.el8.x86_64.rpm</t>
  </si>
  <si>
    <t>curl -O http://mirror.kakao.com/centos/8/BaseOS/x86_64/os/Packages/perl-Storable-3.11-3.el8.x86_64.rpm</t>
  </si>
  <si>
    <t>curl -O http://mirror.kakao.com/centos/8/BaseOS/x86_64/os/Packages/perl-Unicode-Normalize-1.25-396.el8.x86_64.rpm</t>
  </si>
  <si>
    <t>curl -O https://download.postgresql.org/pub/repos/yum/10/redhat/rhel-8-x86_64/postgresql10-contrib-10.9-1PGDG.rhel8.x86_64.rpm</t>
  </si>
  <si>
    <t>curl -O https://download.postgresql.org/pub/repos/yum/10/redhat/rhel-8-x86_64/postgresql10-libs-10.9-1PGDG.rhel8.x86_64.rpm</t>
  </si>
  <si>
    <t>curl -O https://download.postgresql.org/pub/repos/yum/10/redhat/rhel-8-x86_64/postgresql10-server-10.9-1PGDG.rhel8.x86_64.rpm</t>
  </si>
  <si>
    <t>curl -O https://download.postgresql.org/pub/repos/yum/9.5/redhat/rhel-8-x86_64/postgresql95-contrib-9.5.22-1PGDG.rhel8.x86_64.rpm</t>
  </si>
  <si>
    <t>curl -O https://download.postgresql.org/pub/repos/yum/9.5/redhat/rhel-8-x86_64/postgresql95-libs-9.5.22-1PGDG.rhel8.x86_64.rpm</t>
  </si>
  <si>
    <t>curl -O https://download.postgresql.org/pub/repos/yum/9.5/redhat/rhel-8-x86_64/postgresql95-server-9.5.22-1PGDG.rhel8.x86_64.rpm</t>
  </si>
  <si>
    <t>curl -O https://download.postgresql.org/pub/repos/yum/9.6/redhat/rhel-8-x86_64/postgresql96-contrib-9.6.18-1PGDG.rhel8.x86_64.rpm</t>
  </si>
  <si>
    <t>curl -O https://download.postgresql.org/pub/repos/yum/9.6/redhat/rhel-8-x86_64/postgresql96-libs-9.6.18-1PGDG.rhel8.x86_64.rpm</t>
  </si>
  <si>
    <t>curl -O https://download.postgresql.org/pub/repos/yum/9.6/redhat/rhel-8-x86_64/postgresql96-server-9.6.18-1PGDG.rhel8.x86_64.rpm</t>
  </si>
  <si>
    <t>curl -O https://download.postgresql.org/pub/repos/yum/10/redhat/rhel-6Server-i386/postgresql10-10.9-1PGDG.rhel6.i686.rpm</t>
  </si>
  <si>
    <t>curl -O https://download.postgresql.org/pub/repos/yum/11/redhat/rhel-6Server-i386/postgresql11-11.8-1PGDG.rhel6.i686.rpm</t>
  </si>
  <si>
    <t>curl -O https://download.postgresql.org/pub/repos/yum/9.4/redhat/rhel-6Server-i386/postgresql94-9.4.26-1PGDG.rhel6.i686.rpm</t>
  </si>
  <si>
    <t>curl -O https://download.postgresql.org/pub/repos/yum/9.5/redhat/rhel-6Server-i386/postgresql95-9.5.22-1PGDG.rhel6.i686.rpm</t>
  </si>
  <si>
    <t>curl -O https://download.postgresql.org/pub/repos/yum/9.6/redhat/rhel-6Server-i386/postgresql96-9.6.18-1PGDG.rhel6.i686.rpm</t>
  </si>
  <si>
    <t>curl -O https://download.postgresql.org/pub/repos/yum/10/redhat/rhel-6Server-x86_64/postgresql10-10.9-1PGDG.rhel6.x86_64.rpm</t>
  </si>
  <si>
    <t>curl -O https://download.postgresql.org/pub/repos/yum/11/redhat/rhel-6Server-x86_64/postgresql11-11.8-1PGDG.rhel6.x86_64.rpm</t>
  </si>
  <si>
    <t>curl -O https://download.postgresql.org/pub/repos/yum/9.4/redhat/rhel-6Server-x86_64/postgresql94-9.4.26-1PGDG.rhel6.x86_64.rpm</t>
  </si>
  <si>
    <t>curl -O https://download.postgresql.org/pub/repos/yum/9.5/redhat/rhel-6Server-x86_64/postgresql95-9.5.22-1PGDG.rhel6.x86_64.rpm</t>
  </si>
  <si>
    <t>curl -O https://download.postgresql.org/pub/repos/yum/9.6/redhat/rhel-6Server-x86_64/postgresql96-9.6.18-1PGDG.rhel6.x86_64.rpm</t>
  </si>
  <si>
    <t>curl -O https://download.postgresql.org/pub/repos/yum/10/redhat/rhel-7Server-x86_64/postgresql10-10.9-1PGDG.rhel7.x86_64.rpm</t>
  </si>
  <si>
    <t>curl -O https://download.postgresql.org/pub/repos/yum/11/redhat/rhel-7Server-x86_64/postgresql11-11.8-1PGDG.rhel7.x86_64.rpm</t>
  </si>
  <si>
    <t>curl -O https://download.postgresql.org/pub/repos/yum/9.4/redhat/rhel-7Server-x86_64/postgresql94-9.4.26-1PGDG.rhel7.x86_64.rpm</t>
  </si>
  <si>
    <t>curl -O https://download.postgresql.org/pub/repos/yum/9.5/redhat/rhel-7Server-x86_64/postgresql95-9.5.22-1PGDG.rhel7.x86_64.rpm</t>
  </si>
  <si>
    <t>curl -O https://download.postgresql.org/pub/repos/yum/9.6/redhat/rhel-7Server-x86_64/postgresql96-9.6.18-1PGDG.rhel7.x86_64.rpm</t>
  </si>
  <si>
    <t>curl -O https://download.postgresql.org/pub/repos/yum/10/redhat/rhel-8-x86_64/postgresql10-10.9-1PGDG.rhel8.x86_64.rpm</t>
  </si>
  <si>
    <t>curl -O https://download.postgresql.org/pub/repos/yum/9.5/redhat/rhel-8-x86_64/postgresql95-9.5.22-1PGDG.rhel8.x86_64.rpm</t>
  </si>
  <si>
    <t>curl -O https://download.postgresql.org/pub/repos/yum/9.6/redhat/rhel-8-x86_64/postgresql96-9.6.18-1PGDG.rhel8.x86_64.rpm</t>
  </si>
  <si>
    <t>curl -O http://mirror.kakao.com/centos/6/os/i386/Packages/libicu-4.2.1-14.el6.i686.rpm</t>
  </si>
  <si>
    <t>curl -O http://mirror.kakao.com/centos/6/os/i386/Packages/libxslt-1.1.26-2.el6_3.1.i686.rpm</t>
  </si>
  <si>
    <t>curl -O http://mirror.kakao.com/centos/6/os/i386/Packages/perl-5.10.1-144.el6.i686.rpm</t>
  </si>
  <si>
    <t>curl -O http://mirror.kakao.com/centos/6/os/x86_64/Packages/libicu-4.2.1-14.el6.x86_64.rpm</t>
  </si>
  <si>
    <t>curl -O http://mirror.kakao.com/centos/6/os/x86_64/Packages/libxslt-1.1.26-2.el6_3.1.x86_64.rpm</t>
  </si>
  <si>
    <t>curl -O http://mirror.kakao.com/centos/6/os/x86_64/Packages/perl-5.10.1-144.el6.x86_64.rpm</t>
  </si>
  <si>
    <t>curl -O http://mirror.kakao.com/centos/7/os/x86_64/Packages/libicu-50.2-3.el7.i686.rpm</t>
  </si>
  <si>
    <t>curl -O http://mirror.kakao.com/centos/7/os/x86_64/Packages/libxslt-1.1.28-5.el7.i686.rpm</t>
  </si>
  <si>
    <t>curl -O http://mirror.kakao.com/centos/7/os/x86_64/Packages/perl-Carp-1.26-244.el7.noarch.rpm</t>
  </si>
  <si>
    <t>curl -O http://mirror.kakao.com/centos/7/os/x86_64/Packages/libicu-50.2-3.el7.x86_64.rpm</t>
  </si>
  <si>
    <t>curl -O http://mirror.kakao.com/centos/7/os/x86_64/Packages/libxslt-1.1.28-5.el7.x86_64.rpm</t>
  </si>
  <si>
    <t>curl -O http://mirror.kakao.com/centos/7/os/x86_64/Packages/perl-5.16.3-295.el7.x86_64.rpm</t>
  </si>
  <si>
    <t>curl -O http://mirror.kakao.com/centos/7/os/x86_64/Packages/perl-Encode-2.51-7.el7.x86_64.rpm</t>
  </si>
  <si>
    <t>curl -O http://mirror.kakao.com/centos/7/os/x86_64/Packages/perl-Socket-2.010-5.el7.x86_64.rpm</t>
  </si>
  <si>
    <t>curl -O http://mirror.kakao.com/centos/7/os/x86_64/Packages/perl-threads-1.87-4.el7.x86_64.rpm</t>
  </si>
  <si>
    <t>curl -O http://mirror.kakao.com/centos/8/BaseOS/x86_64/os/Packages/libicu-60.3-2.el8_1.i686.rpm</t>
  </si>
  <si>
    <t>curl -O http://mirror.kakao.com/centos/8/BaseOS/x86_64/os/Packages/perl-Carp-1.42-396.el8.noarch.rpm</t>
  </si>
  <si>
    <t>curl -O http://mirror.kakao.com/centos/8/BaseOS/x86_64/os/Packages/libicu-60.3-2.el8_1.x86_64.rpm</t>
  </si>
  <si>
    <t>curl -O http://mirror.kakao.com/centos/8/BaseOS/x86_64/os/Packages/perl-Encode-2.97-3.el8.x86_64.rpm</t>
  </si>
  <si>
    <t>curl -O https://download.postgresql.org/pub/repos/yum/9.4/redhat/rhel-8-x86_64/postgresql94-9.4.26-1PGDG.rhel8.x86_64.rpm</t>
  </si>
  <si>
    <t>curl -O https://download.postgresql.org/pub/repos/yum/9.4/redhat/rhel-8-x86_64/postgresql94-contrib-9.4.26-1PGDG.rhel8.x86_64.rpm</t>
  </si>
  <si>
    <t>curl -O https://download.postgresql.org/pub/repos/yum/9.4/redhat/rhel-8-x86_64/postgresql94-libs-9.4.26-1PGDG.rhel8.x86_64.rpm</t>
  </si>
  <si>
    <t>curl -O https://download.postgresql.org/pub/repos/yum/9.4/redhat/rhel-8-x86_64/postgresql94-server-9.4.26-1PGDG.rhel8.x86_64.rpm</t>
  </si>
  <si>
    <t>curl -O http://mirror.kakao.com/centos/8/BaseOS/x86_64/os/Packages/perl-File-Temp-0.230.600-1.el8.noarch.rpm</t>
  </si>
  <si>
    <t>curl -O http://mirror.kakao.com/centos/8/BaseOS/x86_64/os/Packages/perl-parent-0.237-1.el8.noarch.rpm</t>
  </si>
  <si>
    <t>curl -O http://mirror.kakao.com/centos/8/BaseOS/x86_64/os/Packages/perl-Pod-Escapes-1.07-395.el8.noarch.rpm</t>
  </si>
  <si>
    <t>curl -O http://mirror.kakao.com/centos/8/BaseOS/x86_64/os/Packages/perl-Pod-Perldoc-3.28-396.el8.noarch.rpm</t>
  </si>
  <si>
    <t>curl -O http://mirror.kakao.com/centos/8/BaseOS/x86_64/os/Packages/perl-Pod-Usage-1.69-395.el8.noarch.rpm</t>
  </si>
  <si>
    <t>curl -O http://mirror.kakao.com/centos/8/BaseOS/x86_64/os/Packages/perl-Term-ANSIColor-4.06-396.el8.noarch.rpm</t>
  </si>
  <si>
    <t>curl -O http://mirror.kakao.com/centos/8/BaseOS/x86_64/os/Packages/perl-Term-Cap-1.17-395.el8.noarch.rpm</t>
  </si>
  <si>
    <t>curl -O http://mirror.kakao.com/centos/8/BaseOS/x86_64/os/Packages/perl-Text-ParseWords-3.30-395.el8.noarch.rpm</t>
  </si>
  <si>
    <t>curl -O http://mirror.kakao.com/centos/8/BaseOS/x86_64/os/Packages/perl-Text-Tabs+Wrap-2013.0523-395.el8.noarch.rpm</t>
  </si>
  <si>
    <t>curl -O http://mirror.kakao.com/centos/8/BaseOS/x86_64/os/Packages/perl-Time-Local-1.280-1.el8.noarch.rpm</t>
  </si>
  <si>
    <t>curl -O http://mirror.kakao.com/centos/8/BaseOS/x86_64/os/Packages/perl-Socket-2.027-3.el8.x86_64.rpm</t>
  </si>
  <si>
    <t>curl -O http://mirror.kakao.com/centos/8/BaseOS/x86_64/os/Packages/perl-threads-2.21-2.el8.x86_64.rpm</t>
  </si>
  <si>
    <t>curl -O http://mirror.kakao.com/centos/8/BaseOS/x86_64/os/Packages/perl-threads-shared-1.58-2.el8.x86_64.rpm</t>
  </si>
  <si>
    <t>CentOS_7_64bit</t>
  </si>
  <si>
    <t>192.168.174.187</t>
  </si>
  <si>
    <t>CentOS_6_64bit</t>
  </si>
  <si>
    <t>postgres</t>
    <phoneticPr fontId="1" type="noConversion"/>
  </si>
  <si>
    <t>C</t>
  </si>
  <si>
    <t>CentOS_8_64bit</t>
  </si>
  <si>
    <t>dbTEST</t>
    <phoneticPr fontId="1" type="noConversion"/>
  </si>
  <si>
    <t>password</t>
  </si>
  <si>
    <t>curl -O https://download.postgresql.org/pub/repos/yum/12/redhat/rhel-6Server-x86_64/postgresql12-12.3-1PGDG.rhel6.x86_64.rpm</t>
  </si>
  <si>
    <t>curl -O https://download.postgresql.org/pub/repos/yum/12/redhat/rhel-6Server-x86_64/postgresql12-contrib-12.3-1PGDG.rhel6.x86_64.rpm</t>
  </si>
  <si>
    <t>curl -O https://download.postgresql.org/pub/repos/yum/12/redhat/rhel-6Server-x86_64/postgresql12-libs-12.3-1PGDG.rhel6.x86_64.rpm</t>
  </si>
  <si>
    <t>curl -O https://download.postgresql.org/pub/repos/yum/12/redhat/rhel-6Server-x86_64/postgresql12-server-12.3-1PGDG.rhel6.x86_64.rpm</t>
  </si>
  <si>
    <t>curl -O https://download.postgresql.org/pub/repos/yum/12/redhat/rhel-6Server-i386/postgresql12-12.3-1PGDG.rhel6.i686.rpm</t>
  </si>
  <si>
    <t>curl -O https://download.postgresql.org/pub/repos/yum/12/redhat/rhel-6Server-i386/postgresql12-contrib-12.3-1PGDG.rhel6.i686.rpm</t>
  </si>
  <si>
    <t>curl -O https://download.postgresql.org/pub/repos/yum/12/redhat/rhel-6Server-i386/postgresql12-libs-12.3-1PGDG.rhel6.i686.rpm</t>
  </si>
  <si>
    <t>curl -O https://download.postgresql.org/pub/repos/yum/12/redhat/rhel-6Server-i386/postgresql12-server-12.3-1PGDG.rhel6.i686.rpm</t>
  </si>
  <si>
    <t>/DATA</t>
    <phoneticPr fontId="1" type="noConversion"/>
  </si>
  <si>
    <t>/D ATA</t>
    <phoneticPr fontId="1" type="noConversion"/>
  </si>
  <si>
    <t>/W AL</t>
  </si>
  <si>
    <t>/W AL</t>
    <phoneticPr fontId="1" type="noConversion"/>
  </si>
  <si>
    <t>널값</t>
    <phoneticPr fontId="1" type="noConversion"/>
  </si>
  <si>
    <t>/A RCH</t>
    <phoneticPr fontId="1" type="noConversion"/>
  </si>
  <si>
    <t>/LOG</t>
    <phoneticPr fontId="1" type="noConversion"/>
  </si>
  <si>
    <t>/ENGINE</t>
    <phoneticPr fontId="1" type="noConversion"/>
  </si>
  <si>
    <t>/E NGINE</t>
    <phoneticPr fontId="1" type="noConversion"/>
  </si>
  <si>
    <t>C</t>
    <phoneticPr fontId="1" type="noConversion"/>
  </si>
  <si>
    <t>ostest</t>
    <phoneticPr fontId="1" type="noConversion"/>
  </si>
  <si>
    <t>os test</t>
    <phoneticPr fontId="1" type="noConversion"/>
  </si>
  <si>
    <t>osTEST</t>
    <phoneticPr fontId="1" type="noConversion"/>
  </si>
  <si>
    <t>postgres</t>
    <phoneticPr fontId="1" type="noConversion"/>
  </si>
  <si>
    <t>password</t>
    <phoneticPr fontId="1" type="noConversion"/>
  </si>
  <si>
    <t>p assword</t>
    <phoneticPr fontId="1" type="noConversion"/>
  </si>
  <si>
    <t>dbtest</t>
    <phoneticPr fontId="1" type="noConversion"/>
  </si>
  <si>
    <t>db test</t>
    <phoneticPr fontId="1" type="noConversion"/>
  </si>
  <si>
    <t>test_db</t>
    <phoneticPr fontId="1" type="noConversion"/>
  </si>
  <si>
    <t>test_DB</t>
    <phoneticPr fontId="1" type="noConversion"/>
  </si>
  <si>
    <t>test db</t>
    <phoneticPr fontId="1" type="noConversion"/>
  </si>
  <si>
    <t>/install_dir</t>
  </si>
  <si>
    <t>/ARCH</t>
    <phoneticPr fontId="1" type="noConversion"/>
  </si>
  <si>
    <t>p assword</t>
    <phoneticPr fontId="1" type="noConversion"/>
  </si>
  <si>
    <t>password</t>
    <phoneticPr fontId="1" type="noConversion"/>
  </si>
  <si>
    <t>/DATA</t>
    <phoneticPr fontId="1" type="noConversion"/>
  </si>
  <si>
    <t>/W AL</t>
    <phoneticPr fontId="1" type="noConversion"/>
  </si>
  <si>
    <t>/L OG</t>
    <phoneticPr fontId="1" type="noConversion"/>
  </si>
  <si>
    <t>osTEST</t>
    <phoneticPr fontId="1" type="noConversion"/>
  </si>
  <si>
    <t>testdb</t>
    <phoneticPr fontId="1" type="noConversion"/>
  </si>
  <si>
    <t>/WAL</t>
    <phoneticPr fontId="1" type="noConversion"/>
  </si>
  <si>
    <t>/L OG</t>
    <phoneticPr fontId="1" type="noConversion"/>
  </si>
  <si>
    <t>dbTEST</t>
    <phoneticPr fontId="1" type="noConversion"/>
  </si>
  <si>
    <t>bkbspark</t>
    <phoneticPr fontId="1" type="noConversion"/>
  </si>
  <si>
    <t>DATA disk partition size * 0.4</t>
    <phoneticPr fontId="1" type="noConversion"/>
  </si>
  <si>
    <t>15GB</t>
    <phoneticPr fontId="1" type="noConversion"/>
  </si>
  <si>
    <t>maintenance_work_mem</t>
    <phoneticPr fontId="1" type="noConversion"/>
  </si>
  <si>
    <t>ITEM NAME</t>
    <phoneticPr fontId="1" type="noConversion"/>
  </si>
  <si>
    <t>ITEM DESCRIPTION</t>
    <phoneticPr fontId="1" type="noConversion"/>
  </si>
  <si>
    <t>Input type &amp; Default value when NULL</t>
    <phoneticPr fontId="1" type="noConversion"/>
  </si>
  <si>
    <t>Install as "No Archive Mode"</t>
    <phoneticPr fontId="1" type="noConversion"/>
  </si>
  <si>
    <t>192.168.174.184</t>
    <phoneticPr fontId="1" type="noConversion"/>
  </si>
  <si>
    <t>dd</t>
    <phoneticPr fontId="1" type="noConversion"/>
  </si>
  <si>
    <t>test</t>
    <phoneticPr fontId="1" type="noConversion"/>
  </si>
  <si>
    <t>192.168.174.185</t>
    <phoneticPr fontId="1" type="noConversion"/>
  </si>
  <si>
    <t>/A RCH</t>
    <phoneticPr fontId="1" type="noConversion"/>
  </si>
  <si>
    <t>/ENGINE</t>
    <phoneticPr fontId="1" type="noConversion"/>
  </si>
  <si>
    <t>postgres</t>
    <phoneticPr fontId="1" type="noConversion"/>
  </si>
  <si>
    <t>p assword</t>
    <phoneticPr fontId="1" type="noConversion"/>
  </si>
  <si>
    <t>test2</t>
    <phoneticPr fontId="1" type="noConversion"/>
  </si>
  <si>
    <t>192.168.174.186</t>
    <phoneticPr fontId="1" type="noConversion"/>
  </si>
  <si>
    <t>/LOG</t>
    <phoneticPr fontId="1" type="noConversion"/>
  </si>
  <si>
    <t>testsb</t>
    <phoneticPr fontId="1" type="noConversion"/>
  </si>
  <si>
    <t>test3</t>
    <phoneticPr fontId="1" type="noConversion"/>
  </si>
  <si>
    <t>/E NGINE</t>
    <phoneticPr fontId="1" type="noConversion"/>
  </si>
  <si>
    <t>ostest</t>
    <phoneticPr fontId="1" type="noConversion"/>
  </si>
  <si>
    <t>dfeew</t>
    <phoneticPr fontId="1" type="noConversion"/>
  </si>
  <si>
    <t>test_db</t>
    <phoneticPr fontId="1" type="noConversion"/>
  </si>
  <si>
    <t>PUTTY_TIMEOUT_SEC</t>
    <phoneticPr fontId="1" type="noConversion"/>
  </si>
  <si>
    <t>CMD WINDOW VISIBLE</t>
    <phoneticPr fontId="1" type="noConversion"/>
  </si>
  <si>
    <t>SEMMNI</t>
  </si>
  <si>
    <t>SEMMNS</t>
  </si>
  <si>
    <t>IP:DBport:DBname:username:userpassword</t>
    <phoneticPr fontId="1" type="noConversion"/>
  </si>
  <si>
    <t>RPM_URL</t>
    <phoneticPr fontId="1" type="noConversion"/>
  </si>
  <si>
    <t>curl -O https://download.postgresql.org/pub/repos/yum/12/redhat/rhel-7Server-x86_64/postgresql12-12.3-5PGDG.rhel7.x86_64.rpm</t>
  </si>
  <si>
    <t>curl -O https://download.postgresql.org/pub/repos/yum/12/redhat/rhel-7Server-x86_64/postgresql12-contrib-12.3-5PGDG.rhel7.x86_64.rpm</t>
  </si>
  <si>
    <t>curl -O https://download.postgresql.org/pub/repos/yum/12/redhat/rhel-7Server-x86_64/postgresql12-libs-12.3-5PGDG.rhel7.x86_64.rpm</t>
  </si>
  <si>
    <t>curl -O https://download.postgresql.org/pub/repos/yum/12/redhat/rhel-7Server-x86_64/postgresql12-server-12.3-5PGDG.rhel7.x86_64.rpm</t>
  </si>
  <si>
    <t>curl -O https://download.postgresql.org/pub/repos/yum/11/redhat/rhel-8-x86_64/postgresql11-11.8-2PGDG.rhel8.x86_64.rpm</t>
  </si>
  <si>
    <t>curl -O https://download.postgresql.org/pub/repos/yum/11/redhat/rhel-8-x86_64/postgresql11-contrib-11.8-2PGDG.rhel8.x86_64.rpm</t>
  </si>
  <si>
    <t>curl -O https://download.postgresql.org/pub/repos/yum/11/redhat/rhel-8-x86_64/postgresql11-libs-11.8-2PGDG.rhel8.x86_64.rpm</t>
  </si>
  <si>
    <t>curl -O https://download.postgresql.org/pub/repos/yum/11/redhat/rhel-8-x86_64/postgresql11-server-11.8-2PGDG.rhel8.x86_64.rpm</t>
  </si>
  <si>
    <t>curl -O https://download.postgresql.org/pub/repos/yum/12/redhat/rhel-8-x86_64/postgresql12-12.3-5PGDG.rhel8.x86_64.rpm</t>
  </si>
  <si>
    <t>curl -O https://download.postgresql.org/pub/repos/yum/12/redhat/rhel-8-x86_64/postgresql12-contrib-12.3-5PGDG.rhel8.x86_64.rpm</t>
  </si>
  <si>
    <t>curl -O https://download.postgresql.org/pub/repos/yum/12/redhat/rhel-8-x86_64/postgresql12-libs-12.3-5PGDG.rhel8.x86_64.rpm</t>
  </si>
  <si>
    <t>curl -O https://download.postgresql.org/pub/repos/yum/12/redhat/rhel-8-x86_64/postgresql12-server-12.3-5PGDG.rhel8.x86_64.rpm</t>
  </si>
  <si>
    <t>ssh_port</t>
    <phoneticPr fontId="1" type="noConversion"/>
  </si>
  <si>
    <t>stats_temp_directory\='/dev/shm'</t>
    <phoneticPr fontId="1" type="noConversion"/>
  </si>
  <si>
    <t>log_connections\=on,log_disconnections \= on</t>
    <phoneticPr fontId="1" type="noConversion"/>
  </si>
  <si>
    <t>superuser_reserved_connections\= 5</t>
    <phoneticPr fontId="1" type="noConversion"/>
  </si>
  <si>
    <t>/install dir</t>
    <phoneticPr fontId="1" type="noConversion"/>
  </si>
  <si>
    <t>/root</t>
    <phoneticPr fontId="1" type="noConversion"/>
  </si>
  <si>
    <t>NO</t>
    <phoneticPr fontId="1" type="noConversion"/>
  </si>
  <si>
    <t>mysrvpass</t>
    <phoneticPr fontId="1" type="noConversion"/>
  </si>
  <si>
    <t>qwer1234</t>
    <phoneticPr fontId="1" type="noConversion"/>
  </si>
  <si>
    <t>serverpsswd</t>
    <phoneticPr fontId="1" type="noConversion"/>
  </si>
  <si>
    <t>passw@rd</t>
    <phoneticPr fontId="1" type="noConversion"/>
  </si>
  <si>
    <t>Enter the HOSTNAME of the server where you want to install the database.</t>
    <phoneticPr fontId="1" type="noConversion"/>
  </si>
  <si>
    <t>Mandatory input (list value input)</t>
    <phoneticPr fontId="1" type="noConversion"/>
  </si>
  <si>
    <t>Enter the server OS type to install the database.</t>
    <phoneticPr fontId="1" type="noConversion"/>
  </si>
  <si>
    <t>Specifies the version of the database to be installed.</t>
    <phoneticPr fontId="1" type="noConversion"/>
  </si>
  <si>
    <t>Enter the server IP address to install the database.</t>
    <phoneticPr fontId="1" type="noConversion"/>
  </si>
  <si>
    <t>Mandatory input</t>
    <phoneticPr fontId="1" type="noConversion"/>
  </si>
  <si>
    <t>Enter the ssh port number of the server where you want to install the database</t>
    <phoneticPr fontId="1" type="noConversion"/>
  </si>
  <si>
    <t>Enter the server root password to install the database.</t>
    <phoneticPr fontId="1" type="noConversion"/>
  </si>
  <si>
    <t>Specify the number of users to access the database service.</t>
    <phoneticPr fontId="1" type="noConversion"/>
  </si>
  <si>
    <t>Specify the full path of the database cluster directory to be installed.</t>
    <phoneticPr fontId="1" type="noConversion"/>
  </si>
  <si>
    <t>Specify the full path of the WAL directory of the database to be installed.</t>
    <phoneticPr fontId="1" type="noConversion"/>
  </si>
  <si>
    <t xml:space="preserve">   9.4 ~ 9.6 : $PGDATA/pg_xlog            10 ~ : $PGDATA/pg_wal</t>
    <phoneticPr fontId="1" type="noConversion"/>
  </si>
  <si>
    <t>Specify the full path to the Archive directory of the database to be installed</t>
    <phoneticPr fontId="1" type="noConversion"/>
  </si>
  <si>
    <t>Specify the full path of the log directory of the database to be installed.</t>
    <phoneticPr fontId="1" type="noConversion"/>
  </si>
  <si>
    <t xml:space="preserve">   9.4 ~ 9.6 : $PGDATA/pg_log             10 ~ : $PGDATA/log</t>
    <phoneticPr fontId="1" type="noConversion"/>
  </si>
  <si>
    <t>Specify the full path of the DB engine directory of the database to be installed.</t>
    <phoneticPr fontId="1" type="noConversion"/>
  </si>
  <si>
    <t>/usr/pgsql-"Database Version"</t>
    <phoneticPr fontId="1" type="noConversion"/>
  </si>
  <si>
    <t>Specify the port number of the database to be installed.</t>
    <phoneticPr fontId="1" type="noConversion"/>
  </si>
  <si>
    <t>Specify locale of database to install.</t>
    <phoneticPr fontId="1" type="noConversion"/>
  </si>
  <si>
    <t>C</t>
    <phoneticPr fontId="1" type="noConversion"/>
  </si>
  <si>
    <t>Specifies the DB OS user name to manage the database to be installed.</t>
    <phoneticPr fontId="1" type="noConversion"/>
  </si>
  <si>
    <t>postgres</t>
    <phoneticPr fontId="1" type="noConversion"/>
  </si>
  <si>
    <t>Specifies the password of the DB OS user who will manage the database.</t>
    <phoneticPr fontId="1" type="noConversion"/>
  </si>
  <si>
    <t>Specifies the DB superuser name to manage the database to be installed.</t>
    <phoneticPr fontId="1" type="noConversion"/>
  </si>
  <si>
    <t>Specifies the password of the DB super user who will manage the database.</t>
    <phoneticPr fontId="1" type="noConversion"/>
  </si>
  <si>
    <t>Specify the name of the database you want to create separately.</t>
    <phoneticPr fontId="1" type="noConversion"/>
  </si>
  <si>
    <t>Script does not create a separate database.</t>
    <phoneticPr fontId="1" type="noConversion"/>
  </si>
  <si>
    <t>what you want to specify parameter,(grouped with "\=" and separate them with ",")</t>
    <phoneticPr fontId="1" type="noConversion"/>
  </si>
  <si>
    <t>The script does not set any additional parameters.</t>
    <phoneticPr fontId="1" type="noConversion"/>
  </si>
  <si>
    <t>Specify the directory to upload installation files.</t>
    <phoneticPr fontId="1" type="noConversion"/>
  </si>
  <si>
    <t>~/</t>
    <phoneticPr fontId="1" type="noConversion"/>
  </si>
  <si>
    <t xml:space="preserve">
System kernel parameters and DB related file 
and, disk capacity recommended values 
​​set during script execution
</t>
    <phoneticPr fontId="1" type="noConversion"/>
  </si>
  <si>
    <t>Database partition capacity recommended value</t>
    <phoneticPr fontId="1" type="noConversion"/>
  </si>
  <si>
    <t>Discretion by the service manager</t>
    <phoneticPr fontId="1" type="noConversion"/>
  </si>
  <si>
    <t>Automatically set the following contents when there are more than 800 DB access users</t>
    <phoneticPr fontId="1" type="noConversion"/>
  </si>
  <si>
    <t>Maximum available capacity</t>
    <phoneticPr fontId="1" type="noConversion"/>
  </si>
  <si>
    <t>(1000 units rounded / 10)+100</t>
    <phoneticPr fontId="1" type="noConversion"/>
  </si>
  <si>
    <t>SEMMNI * 250</t>
    <phoneticPr fontId="1" type="noConversion"/>
  </si>
  <si>
    <t>$PGDATA/pg_hba.conf and %PGHOME/.pgpass files set by script</t>
    <phoneticPr fontId="1" type="noConversion"/>
  </si>
  <si>
    <t>That manages IP access of DB ( contents are recorded in the following format )</t>
    <phoneticPr fontId="1" type="noConversion"/>
  </si>
  <si>
    <t>0.0.0.0/32 md5</t>
    <phoneticPr fontId="1" type="noConversion"/>
  </si>
  <si>
    <t>0.0.0.0 = all ip , /32 = netmask 255.255.255.0, PWD encryption method = md5</t>
    <phoneticPr fontId="1" type="noConversion"/>
  </si>
  <si>
    <t>File that omits authentication when accessing DB using psql</t>
    <phoneticPr fontId="1" type="noConversion"/>
  </si>
  <si>
    <t>Concept as the Oracle pw file, (contents are recorded in the following format )</t>
    <phoneticPr fontId="1" type="noConversion"/>
  </si>
  <si>
    <t>Recommended parameter value set by script</t>
    <phoneticPr fontId="1" type="noConversion"/>
  </si>
  <si>
    <t>parameter name</t>
    <phoneticPr fontId="1" type="noConversion"/>
  </si>
  <si>
    <t>parameter descripttion</t>
    <phoneticPr fontId="1" type="noConversion"/>
  </si>
  <si>
    <t>parameter recomanded value</t>
    <phoneticPr fontId="1" type="noConversion"/>
  </si>
  <si>
    <t>Designate IP band to allow access to DB.</t>
    <phoneticPr fontId="1" type="noConversion"/>
  </si>
  <si>
    <t>Specify port number of database.</t>
    <phoneticPr fontId="1" type="noConversion"/>
  </si>
  <si>
    <t>Port number designated by the script user.</t>
    <phoneticPr fontId="1" type="noConversion"/>
  </si>
  <si>
    <t>Specify the number of connections allowed to the DBMS.</t>
    <phoneticPr fontId="1" type="noConversion"/>
  </si>
  <si>
    <t>Number of DB users designated by script user.</t>
    <phoneticPr fontId="1" type="noConversion"/>
  </si>
  <si>
    <t>Specifying the shared memory size to be used by the DBMS.</t>
    <phoneticPr fontId="1" type="noConversion"/>
  </si>
  <si>
    <t>1/4 of total physical memory.</t>
    <phoneticPr fontId="1" type="noConversion"/>
  </si>
  <si>
    <t>Specify the memory size to be used by DBMS users.</t>
    <phoneticPr fontId="1" type="noConversion"/>
  </si>
  <si>
    <t>Value less than ( physical MEM - shared_buffers - maintenace_work_mem ) / max_conncetions</t>
    <phoneticPr fontId="1" type="noConversion"/>
  </si>
  <si>
    <t>Specify the maximum memory size used by maintenance commands such as VACUMM or CREATE INDEX and ALTER TABLE ADD FOREIGN KEY.</t>
    <phoneticPr fontId="1" type="noConversion"/>
  </si>
  <si>
    <t>1/16 of total physical memory.</t>
    <phoneticPr fontId="1" type="noConversion"/>
  </si>
  <si>
    <t>Specify library to be loaded into memory together at DB start.</t>
    <phoneticPr fontId="1" type="noConversion"/>
  </si>
  <si>
    <t>Specify checkpoint interval time.
체크포인트 시간 간격</t>
    <phoneticPr fontId="1" type="noConversion"/>
  </si>
  <si>
    <t>Designate time percentage to finish checkpoint.</t>
    <phoneticPr fontId="1" type="noConversion"/>
  </si>
  <si>
    <t>Specify archive mode.</t>
    <phoneticPr fontId="1" type="noConversion"/>
  </si>
  <si>
    <t>OS command to archive WAL.</t>
    <phoneticPr fontId="1" type="noConversion"/>
  </si>
  <si>
    <t>Specifies the maximum number of wal sender processes.</t>
    <phoneticPr fontId="1" type="noConversion"/>
  </si>
  <si>
    <t>A parameter that specifies the cost of a random page reading mechanism used for index scans. ( lower the value, the greater the probability of index scans.)</t>
    <phoneticPr fontId="1" type="noConversion"/>
  </si>
  <si>
    <t>A parameter that assumes the maximum memory size available in a single query. The higher the value, the higher the probability of an index scan.</t>
    <phoneticPr fontId="1" type="noConversion"/>
  </si>
  <si>
    <t>3/4 of total physical memory.</t>
    <phoneticPr fontId="1" type="noConversion"/>
  </si>
  <si>
    <t>Specify the log recording method.</t>
    <phoneticPr fontId="1" type="noConversion"/>
  </si>
  <si>
    <t>Specifies whether to activate the DBMS logging.</t>
    <phoneticPr fontId="1" type="noConversion"/>
  </si>
  <si>
    <t>Specifies where the DBMS log will be written.</t>
    <phoneticPr fontId="1" type="noConversion"/>
  </si>
  <si>
    <t>Specifies the format of the DBMS log file name.</t>
    <phoneticPr fontId="1" type="noConversion"/>
  </si>
  <si>
    <t>Specify the time defined by the slow query, and the slow query is recorded in the log.</t>
    <phoneticPr fontId="1" type="noConversion"/>
  </si>
  <si>
    <t>Specifies the format of the contents recorded in the log.</t>
    <phoneticPr fontId="1" type="noConversion"/>
  </si>
  <si>
    <t>Specifies whether DBMS lock information is activated or not.</t>
    <phoneticPr fontId="1" type="noConversion"/>
  </si>
  <si>
    <t>Specifies temp file usage history.</t>
    <phoneticPr fontId="1" type="noConversion"/>
  </si>
  <si>
    <t>Maximum number of rows in pg_stat_statements view</t>
    <phoneticPr fontId="1" type="noConversion"/>
  </si>
  <si>
    <t>Parameters that specify the type of query statement to be used for statistical information based on the frequency of use of the query statement</t>
    <phoneticPr fontId="1" type="noConversion"/>
  </si>
  <si>
    <t>Designate what is accumulated in WAL</t>
    <phoneticPr fontId="1" type="noConversion"/>
  </si>
  <si>
    <t>Specify the maximum capacity of WAL.</t>
    <phoneticPr fontId="1" type="noConversion"/>
  </si>
  <si>
    <t>9.5 ~ : 80% of WAL partition</t>
    <phoneticPr fontId="1" type="noConversion"/>
  </si>
  <si>
    <t>WAL is the minimum storage capacity.</t>
    <phoneticPr fontId="1" type="noConversion"/>
  </si>
  <si>
    <t>The parameter that designates the maximum number of WAL segments before the checkpoint.</t>
    <phoneticPr fontId="1" type="noConversion"/>
  </si>
  <si>
    <t>curl -O http://mirror.kakao.com/centos/8/AppStream/x86_64/os/Packages/python2-libs-2.7.17-1.module_el8.2.0+381+9a5b3c3b.x86_64.rpm</t>
  </si>
  <si>
    <t>curl -O http://mirror.kakao.com/centos/8/AppStream/x86_64/os/Packages/python2-2.7.17-1.module_el8.2.0+381+9a5b3c3b.x86_64.rpm</t>
  </si>
  <si>
    <t>python2</t>
    <phoneticPr fontId="1" type="noConversion"/>
  </si>
  <si>
    <t>curl -O http://mirror.kakao.com/centos/8/BaseOS/x86_64/os/Packages/libxslt-1.1.32-4.el8.x86_64.rpm</t>
  </si>
  <si>
    <t>curl -O http://mirror.kakao.com/centos/8/AppStream/x86_64/os/Packages/python3-rpm-generators-5-6.el8.noarch.rpm</t>
  </si>
  <si>
    <t>python3-rpm-generators</t>
  </si>
  <si>
    <t>curl -O http://mirror.kakao.com/centos/8/AppStream/x86_64/os/Packages/python2-setuptools-39.0.1-11.module_el8.2.0+381+9a5b3c3b.noarch.rpm</t>
  </si>
  <si>
    <t>python2-setuptools</t>
  </si>
  <si>
    <t>curl -O http://mirror.kakao.com/centos/8/AppStream/x86_64/os/Packages/python2-rpm-macros-3-38.module_el8.2.0+381+9a5b3c3b.noarch.rpm</t>
  </si>
  <si>
    <t>python2-rpm-macros</t>
  </si>
  <si>
    <t>curl -O http://mirror.kakao.com/centos/8/AppStream/x86_64/os/Packages/python-srpm-macros-3-38.el8.noarch.rpm</t>
  </si>
  <si>
    <t>python-srpm-macros</t>
    <phoneticPr fontId="1" type="noConversion"/>
  </si>
  <si>
    <t>curl -O http://mirror.kakao.com/centos/8/AppStream/x86_64/os/Packages/python-rpm-macros-3-38.el8.noarch.rpm</t>
  </si>
  <si>
    <t>python-rpm-macros</t>
  </si>
  <si>
    <t>curl -O http://mirror.kakao.com/centos/8/AppStream/x86_64/os/Packages/python2-setuptools-wheel-39.0.1-11.module_el8.2.0+381+9a5b3c3b.noarch.rpm</t>
  </si>
  <si>
    <t>curl -O http://mirror.kakao.com/centos/8/AppStream/x86_64/os/Packages/python2-pip-wheel-9.0.3-16.module_el8.2.0+381+9a5b3c3b.noarch.rpm</t>
  </si>
  <si>
    <t>curl -O http://mirror.kakao.com/centos/8/BaseOS/x86_64/os/Packages/libxslt-1.1.32-4.el8.i686.rpm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</si>
</sst>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4" borderId="14" xfId="0" applyFont="1" applyFill="1" applyBorder="1" applyAlignment="1">
      <alignment horizontal="left" vertical="center"/>
    </xf>
    <xf numFmtId="0" fontId="0" fillId="2" borderId="14" xfId="0" applyFont="1" applyFill="1" applyBorder="1" applyAlignment="1">
      <alignment horizontal="left" vertical="center"/>
    </xf>
    <xf numFmtId="0" fontId="0" fillId="3" borderId="15" xfId="0" applyFont="1" applyFill="1" applyBorder="1" applyAlignment="1">
      <alignment horizontal="left" vertical="center"/>
    </xf>
    <xf numFmtId="0" fontId="0" fillId="4" borderId="14" xfId="0" applyFill="1" applyBorder="1" applyAlignment="1">
      <alignment vertical="center"/>
    </xf>
    <xf numFmtId="0" fontId="0" fillId="2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6" borderId="26" xfId="0" applyFont="1" applyFill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4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29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0" fillId="2" borderId="18" xfId="0" applyFill="1" applyBorder="1" applyAlignment="1">
      <alignment horizontal="left" vertical="center"/>
    </xf>
    <xf numFmtId="0" fontId="5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CCCC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2258</xdr:colOff>
      <xdr:row>0</xdr:row>
      <xdr:rowOff>201366</xdr:rowOff>
    </xdr:from>
    <xdr:to>
      <xdr:col>2</xdr:col>
      <xdr:colOff>285</xdr:colOff>
      <xdr:row>3</xdr:row>
      <xdr:rowOff>25400</xdr:rowOff>
    </xdr:to>
    <xdr:grpSp>
      <xdr:nvGrpSpPr>
        <xdr:cNvPr id="4" name="그룹 3"/>
        <xdr:cNvGrpSpPr/>
      </xdr:nvGrpSpPr>
      <xdr:grpSpPr>
        <a:xfrm>
          <a:off x="302361" y="201366"/>
          <a:ext cx="1498540" cy="450335"/>
          <a:chOff x="2847581" y="45704"/>
          <a:chExt cx="1366838" cy="461382"/>
        </a:xfrm>
      </xdr:grpSpPr>
      <xdr:sp macro="[0]!_xludf.hide" textlink="">
        <xdr:nvSpPr>
          <xdr:cNvPr id="2" name="빗면 1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_xludf.hide" textlink="">
        <xdr:nvSpPr>
          <xdr:cNvPr id="3" name="TextBox 2"/>
          <xdr:cNvSpPr txBox="1"/>
        </xdr:nvSpPr>
        <xdr:spPr>
          <a:xfrm>
            <a:off x="2847581" y="45704"/>
            <a:ext cx="1366838" cy="4613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HIDE</a:t>
            </a:r>
            <a:r>
              <a:rPr lang="en-US" altLang="ko-KR" sz="1100" baseline="0"/>
              <a:t> / UNFOLD</a:t>
            </a:r>
            <a:br>
              <a:rPr lang="en-US" altLang="ko-KR" sz="1100" baseline="0"/>
            </a:br>
            <a:r>
              <a:rPr lang="en-US" altLang="ko-KR" sz="1100" baseline="0"/>
              <a:t>ITEM DESCRIPTION</a:t>
            </a:r>
            <a:endParaRPr lang="ko-KR" altLang="en-US" sz="1100"/>
          </a:p>
        </xdr:txBody>
      </xdr:sp>
    </xdr:grpSp>
    <xdr:clientData/>
  </xdr:twoCellAnchor>
  <xdr:twoCellAnchor>
    <xdr:from>
      <xdr:col>3</xdr:col>
      <xdr:colOff>0</xdr:colOff>
      <xdr:row>0</xdr:row>
      <xdr:rowOff>197602</xdr:rowOff>
    </xdr:from>
    <xdr:to>
      <xdr:col>4</xdr:col>
      <xdr:colOff>272347</xdr:colOff>
      <xdr:row>3</xdr:row>
      <xdr:rowOff>11207</xdr:rowOff>
    </xdr:to>
    <xdr:grpSp>
      <xdr:nvGrpSpPr>
        <xdr:cNvPr id="12" name="그룹 11"/>
        <xdr:cNvGrpSpPr/>
      </xdr:nvGrpSpPr>
      <xdr:grpSpPr>
        <a:xfrm>
          <a:off x="3066267" y="197602"/>
          <a:ext cx="1498854" cy="439906"/>
          <a:chOff x="2847581" y="55885"/>
          <a:chExt cx="1366838" cy="444317"/>
        </a:xfrm>
      </xdr:grpSpPr>
      <xdr:sp macro="[0]!Main" textlink="">
        <xdr:nvSpPr>
          <xdr:cNvPr id="13" name="빗면 12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Main" textlink="">
        <xdr:nvSpPr>
          <xdr:cNvPr id="14" name="TextBox 13"/>
          <xdr:cNvSpPr txBox="1"/>
        </xdr:nvSpPr>
        <xdr:spPr>
          <a:xfrm>
            <a:off x="2847581" y="55885"/>
            <a:ext cx="1366838" cy="4443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START INSTALL</a:t>
            </a:r>
          </a:p>
          <a:p>
            <a:pPr algn="ctr"/>
            <a:r>
              <a:rPr lang="en-US" altLang="ko-KR" sz="1100"/>
              <a:t>FORGROUND</a:t>
            </a:r>
            <a:endParaRPr lang="ko-KR" altLang="en-US" sz="1100"/>
          </a:p>
        </xdr:txBody>
      </xdr:sp>
    </xdr:grp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249935</xdr:colOff>
      <xdr:row>3</xdr:row>
      <xdr:rowOff>22412</xdr:rowOff>
    </xdr:to>
    <xdr:grpSp>
      <xdr:nvGrpSpPr>
        <xdr:cNvPr id="21" name="그룹 20"/>
        <xdr:cNvGrpSpPr/>
      </xdr:nvGrpSpPr>
      <xdr:grpSpPr>
        <a:xfrm>
          <a:off x="6484829" y="208767"/>
          <a:ext cx="1502538" cy="439946"/>
          <a:chOff x="2847581" y="55884"/>
          <a:chExt cx="1366838" cy="440286"/>
        </a:xfrm>
      </xdr:grpSpPr>
      <xdr:sp macro="[0]!BACKGROUND" textlink="">
        <xdr:nvSpPr>
          <xdr:cNvPr id="22" name="빗면 21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BACKGROUND" textlink="">
        <xdr:nvSpPr>
          <xdr:cNvPr id="23" name="TextBox 22"/>
          <xdr:cNvSpPr txBox="1"/>
        </xdr:nvSpPr>
        <xdr:spPr>
          <a:xfrm>
            <a:off x="2847581" y="55884"/>
            <a:ext cx="1366838" cy="4402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START INSTALL</a:t>
            </a:r>
          </a:p>
          <a:p>
            <a:pPr algn="ctr"/>
            <a:r>
              <a:rPr lang="en-US" altLang="ko-KR" sz="1100"/>
              <a:t>BACKROUND</a:t>
            </a:r>
            <a:endParaRPr lang="ko-KR" altLang="en-US" sz="1100"/>
          </a:p>
        </xdr:txBody>
      </xdr:sp>
    </xdr:grp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1502006</xdr:colOff>
      <xdr:row>2</xdr:row>
      <xdr:rowOff>201705</xdr:rowOff>
    </xdr:to>
    <xdr:grpSp>
      <xdr:nvGrpSpPr>
        <xdr:cNvPr id="24" name="그룹 23"/>
        <xdr:cNvGrpSpPr/>
      </xdr:nvGrpSpPr>
      <xdr:grpSpPr>
        <a:xfrm>
          <a:off x="9198801" y="208767"/>
          <a:ext cx="1463906" cy="410472"/>
          <a:chOff x="2847581" y="70923"/>
          <a:chExt cx="1366838" cy="407632"/>
        </a:xfrm>
      </xdr:grpSpPr>
      <xdr:sp macro="[0]!download" textlink="">
        <xdr:nvSpPr>
          <xdr:cNvPr id="25" name="빗면 24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download" textlink="">
        <xdr:nvSpPr>
          <xdr:cNvPr id="26" name="TextBox 25"/>
          <xdr:cNvSpPr txBox="1"/>
        </xdr:nvSpPr>
        <xdr:spPr>
          <a:xfrm>
            <a:off x="2847581" y="139374"/>
            <a:ext cx="1366838" cy="3391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200"/>
              <a:t>RedHat RPM DWLD</a:t>
            </a:r>
            <a:endParaRPr lang="ko-KR" altLang="en-US" sz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kbsp/OneDrive/&#48148;&#53461;%20&#54868;&#47732;/database_chk_vba-master%20(1)/database_chk_vba-master/RESOURCE/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OSTGRESQL_INST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K_LST"/>
      <sheetName val="REPORT"/>
      <sheetName val="TEMPLATE"/>
    </sheetNames>
    <sheetDataSet>
      <sheetData sheetId="0" refreshError="1"/>
      <sheetData sheetId="1">
        <row r="1">
          <cell r="A1">
            <v>0</v>
          </cell>
        </row>
        <row r="7">
          <cell r="A7" t="str">
            <v>CHK_LST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Appendix"/>
      <sheetName val="CentOS FTP"/>
    </sheetNames>
    <sheetDataSet>
      <sheetData sheetId="0">
        <row r="28">
          <cell r="J28" t="str">
            <v>http://mirror.kakao.com/centos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1008686"/>
  <sheetViews>
    <sheetView tabSelected="1" zoomScale="73" zoomScaleNormal="73" workbookViewId="0"/>
  </sheetViews>
  <sheetFormatPr defaultRowHeight="16.5" x14ac:dyDescent="0.3"/>
  <cols>
    <col min="1" max="1" width="3.875" customWidth="1"/>
    <col min="2" max="2" width="19.75" style="1" bestFit="1" customWidth="1"/>
    <col min="3" max="3" width="16.625" style="1" customWidth="1"/>
    <col min="4" max="4" width="16.125" style="1" customWidth="1"/>
    <col min="5" max="5" width="19.75" style="1" customWidth="1"/>
    <col min="6" max="6" width="9.125" style="1" customWidth="1"/>
    <col min="7" max="7" width="16.5" style="1" customWidth="1"/>
    <col min="8" max="13" width="19.25" style="1" customWidth="1"/>
    <col min="14" max="14" width="9.75" style="1" customWidth="1"/>
    <col min="15" max="15" width="7.875" style="1" customWidth="1"/>
    <col min="16" max="20" width="12.25" style="1" customWidth="1"/>
    <col min="21" max="21" width="20.625" style="1" customWidth="1"/>
    <col min="22" max="22" width="14.625" style="1" customWidth="1"/>
    <col min="23" max="23" width="9" style="19" customWidth="1"/>
  </cols>
  <sheetData>
    <row r="3" spans="2:10" x14ac:dyDescent="0.3">
      <c r="B3" s="1">
        <v>1</v>
      </c>
    </row>
    <row r="4" spans="2:10" ht="17.25" thickBot="1" x14ac:dyDescent="0.35"/>
    <row r="5" spans="2:10" ht="17.25" thickBot="1" x14ac:dyDescent="0.35">
      <c r="B5" s="2" t="s">
        <v>357</v>
      </c>
      <c r="C5" s="65" t="s">
        <v>358</v>
      </c>
      <c r="D5" s="66"/>
      <c r="E5" s="66"/>
      <c r="F5" s="66"/>
      <c r="G5" s="67"/>
      <c r="H5" s="65" t="s">
        <v>359</v>
      </c>
      <c r="I5" s="66"/>
      <c r="J5" s="67"/>
    </row>
    <row r="6" spans="2:10" x14ac:dyDescent="0.3">
      <c r="B6" s="29" t="str">
        <f>B30</f>
        <v>HOSTNAME</v>
      </c>
      <c r="C6" s="75" t="s">
        <v>407</v>
      </c>
      <c r="D6" s="76"/>
      <c r="E6" s="76"/>
      <c r="F6" s="76"/>
      <c r="G6" s="77"/>
      <c r="H6" s="78" t="s">
        <v>408</v>
      </c>
      <c r="I6" s="79"/>
      <c r="J6" s="80"/>
    </row>
    <row r="7" spans="2:10" x14ac:dyDescent="0.3">
      <c r="B7" s="3" t="str">
        <f>C30</f>
        <v>OS_type</v>
      </c>
      <c r="C7" s="53" t="s">
        <v>409</v>
      </c>
      <c r="D7" s="54"/>
      <c r="E7" s="54"/>
      <c r="F7" s="54"/>
      <c r="G7" s="55"/>
      <c r="H7" s="59" t="s">
        <v>408</v>
      </c>
      <c r="I7" s="60"/>
      <c r="J7" s="61"/>
    </row>
    <row r="8" spans="2:10" x14ac:dyDescent="0.3">
      <c r="B8" s="3" t="str">
        <f>D30</f>
        <v>DB_VERSION</v>
      </c>
      <c r="C8" s="53" t="s">
        <v>410</v>
      </c>
      <c r="D8" s="54"/>
      <c r="E8" s="54"/>
      <c r="F8" s="54"/>
      <c r="G8" s="55"/>
      <c r="H8" s="59" t="s">
        <v>408</v>
      </c>
      <c r="I8" s="60"/>
      <c r="J8" s="61"/>
    </row>
    <row r="9" spans="2:10" x14ac:dyDescent="0.3">
      <c r="B9" s="3" t="str">
        <f>E30</f>
        <v>Server_IP</v>
      </c>
      <c r="C9" s="53" t="s">
        <v>411</v>
      </c>
      <c r="D9" s="54"/>
      <c r="E9" s="54"/>
      <c r="F9" s="54"/>
      <c r="G9" s="55"/>
      <c r="H9" s="62" t="s">
        <v>412</v>
      </c>
      <c r="I9" s="63"/>
      <c r="J9" s="64"/>
    </row>
    <row r="10" spans="2:10" x14ac:dyDescent="0.3">
      <c r="B10" s="46" t="str">
        <f>F30</f>
        <v>ssh_port</v>
      </c>
      <c r="C10" s="53" t="s">
        <v>413</v>
      </c>
      <c r="D10" s="54"/>
      <c r="E10" s="54"/>
      <c r="F10" s="54"/>
      <c r="G10" s="55"/>
      <c r="H10" s="62" t="s">
        <v>412</v>
      </c>
      <c r="I10" s="63"/>
      <c r="J10" s="64"/>
    </row>
    <row r="11" spans="2:10" x14ac:dyDescent="0.3">
      <c r="B11" s="3" t="str">
        <f>G30</f>
        <v>root_password</v>
      </c>
      <c r="C11" s="53" t="s">
        <v>414</v>
      </c>
      <c r="D11" s="54"/>
      <c r="E11" s="54"/>
      <c r="F11" s="54"/>
      <c r="G11" s="55"/>
      <c r="H11" s="62" t="s">
        <v>412</v>
      </c>
      <c r="I11" s="63"/>
      <c r="J11" s="64"/>
    </row>
    <row r="12" spans="2:10" x14ac:dyDescent="0.3">
      <c r="B12" s="3" t="str">
        <f>H30</f>
        <v>MAX_CONNECTION</v>
      </c>
      <c r="C12" s="53" t="s">
        <v>415</v>
      </c>
      <c r="D12" s="54"/>
      <c r="E12" s="54"/>
      <c r="F12" s="54"/>
      <c r="G12" s="55"/>
      <c r="H12" s="62" t="s">
        <v>412</v>
      </c>
      <c r="I12" s="63"/>
      <c r="J12" s="64"/>
    </row>
    <row r="13" spans="2:10" x14ac:dyDescent="0.3">
      <c r="B13" s="3" t="str">
        <f>I30</f>
        <v>PGDATA</v>
      </c>
      <c r="C13" s="53" t="s">
        <v>416</v>
      </c>
      <c r="D13" s="54"/>
      <c r="E13" s="54"/>
      <c r="F13" s="54"/>
      <c r="G13" s="55"/>
      <c r="H13" s="62" t="s">
        <v>412</v>
      </c>
      <c r="I13" s="63"/>
      <c r="J13" s="64"/>
    </row>
    <row r="14" spans="2:10" x14ac:dyDescent="0.3">
      <c r="B14" s="3" t="str">
        <f>J30</f>
        <v>PGWAL</v>
      </c>
      <c r="C14" s="74" t="s">
        <v>417</v>
      </c>
      <c r="D14" s="54"/>
      <c r="E14" s="54"/>
      <c r="F14" s="54"/>
      <c r="G14" s="55"/>
      <c r="H14" s="82" t="s">
        <v>418</v>
      </c>
      <c r="I14" s="83"/>
      <c r="J14" s="84"/>
    </row>
    <row r="15" spans="2:10" x14ac:dyDescent="0.3">
      <c r="B15" s="3" t="str">
        <f>K30</f>
        <v>PGARCH</v>
      </c>
      <c r="C15" s="53" t="s">
        <v>419</v>
      </c>
      <c r="D15" s="54"/>
      <c r="E15" s="54"/>
      <c r="F15" s="54"/>
      <c r="G15" s="55"/>
      <c r="H15" s="56" t="s">
        <v>360</v>
      </c>
      <c r="I15" s="57"/>
      <c r="J15" s="58"/>
    </row>
    <row r="16" spans="2:10" x14ac:dyDescent="0.3">
      <c r="B16" s="3" t="str">
        <f>L30</f>
        <v>PGLOG</v>
      </c>
      <c r="C16" s="53" t="s">
        <v>420</v>
      </c>
      <c r="D16" s="54"/>
      <c r="E16" s="54"/>
      <c r="F16" s="54"/>
      <c r="G16" s="55"/>
      <c r="H16" s="82" t="s">
        <v>421</v>
      </c>
      <c r="I16" s="83"/>
      <c r="J16" s="84"/>
    </row>
    <row r="17" spans="2:24" x14ac:dyDescent="0.3">
      <c r="B17" s="3" t="str">
        <f>M30</f>
        <v>ENGINE</v>
      </c>
      <c r="C17" s="74" t="s">
        <v>422</v>
      </c>
      <c r="D17" s="54"/>
      <c r="E17" s="54"/>
      <c r="F17" s="54"/>
      <c r="G17" s="55"/>
      <c r="H17" s="56" t="s">
        <v>423</v>
      </c>
      <c r="I17" s="57"/>
      <c r="J17" s="58"/>
    </row>
    <row r="18" spans="2:24" x14ac:dyDescent="0.3">
      <c r="B18" s="3" t="str">
        <f>N30</f>
        <v>PGPORT</v>
      </c>
      <c r="C18" s="53" t="s">
        <v>424</v>
      </c>
      <c r="D18" s="54"/>
      <c r="E18" s="54"/>
      <c r="F18" s="54"/>
      <c r="G18" s="55"/>
      <c r="H18" s="56">
        <v>5432</v>
      </c>
      <c r="I18" s="57"/>
      <c r="J18" s="58"/>
    </row>
    <row r="19" spans="2:24" x14ac:dyDescent="0.3">
      <c r="B19" s="4" t="str">
        <f>O30</f>
        <v>LOCALE</v>
      </c>
      <c r="C19" s="53" t="s">
        <v>425</v>
      </c>
      <c r="D19" s="54"/>
      <c r="E19" s="54"/>
      <c r="F19" s="54"/>
      <c r="G19" s="55"/>
      <c r="H19" s="56" t="s">
        <v>426</v>
      </c>
      <c r="I19" s="57"/>
      <c r="J19" s="58"/>
    </row>
    <row r="20" spans="2:24" x14ac:dyDescent="0.3">
      <c r="B20" s="3" t="str">
        <f>P30</f>
        <v>OSUSER</v>
      </c>
      <c r="C20" s="53" t="s">
        <v>427</v>
      </c>
      <c r="D20" s="54"/>
      <c r="E20" s="54"/>
      <c r="F20" s="54"/>
      <c r="G20" s="55"/>
      <c r="H20" s="56" t="s">
        <v>428</v>
      </c>
      <c r="I20" s="57"/>
      <c r="J20" s="58"/>
    </row>
    <row r="21" spans="2:24" x14ac:dyDescent="0.3">
      <c r="B21" s="3" t="str">
        <f>Q30</f>
        <v>OSPASS</v>
      </c>
      <c r="C21" s="53" t="s">
        <v>429</v>
      </c>
      <c r="D21" s="54"/>
      <c r="E21" s="54"/>
      <c r="F21" s="54"/>
      <c r="G21" s="55"/>
      <c r="H21" s="56" t="s">
        <v>428</v>
      </c>
      <c r="I21" s="57"/>
      <c r="J21" s="58"/>
    </row>
    <row r="22" spans="2:24" x14ac:dyDescent="0.3">
      <c r="B22" s="3" t="str">
        <f>R30</f>
        <v>PGUSER</v>
      </c>
      <c r="C22" s="53" t="s">
        <v>430</v>
      </c>
      <c r="D22" s="54"/>
      <c r="E22" s="54"/>
      <c r="F22" s="54"/>
      <c r="G22" s="55"/>
      <c r="H22" s="56" t="s">
        <v>428</v>
      </c>
      <c r="I22" s="57"/>
      <c r="J22" s="58"/>
    </row>
    <row r="23" spans="2:24" x14ac:dyDescent="0.3">
      <c r="B23" s="3" t="str">
        <f>S30</f>
        <v>PGPASS</v>
      </c>
      <c r="C23" s="53" t="s">
        <v>431</v>
      </c>
      <c r="D23" s="54"/>
      <c r="E23" s="54"/>
      <c r="F23" s="54"/>
      <c r="G23" s="55"/>
      <c r="H23" s="56" t="s">
        <v>428</v>
      </c>
      <c r="I23" s="57"/>
      <c r="J23" s="58"/>
    </row>
    <row r="24" spans="2:24" x14ac:dyDescent="0.3">
      <c r="B24" s="3" t="str">
        <f>T30</f>
        <v>PGDATABASE</v>
      </c>
      <c r="C24" s="74" t="s">
        <v>432</v>
      </c>
      <c r="D24" s="54"/>
      <c r="E24" s="54"/>
      <c r="F24" s="54"/>
      <c r="G24" s="55"/>
      <c r="H24" s="81" t="s">
        <v>433</v>
      </c>
      <c r="I24" s="57"/>
      <c r="J24" s="58"/>
    </row>
    <row r="25" spans="2:24" x14ac:dyDescent="0.3">
      <c r="B25" s="16" t="str">
        <f>U30</f>
        <v>PARAMETER_ADD</v>
      </c>
      <c r="C25" s="74" t="s">
        <v>434</v>
      </c>
      <c r="D25" s="54"/>
      <c r="E25" s="54"/>
      <c r="F25" s="54"/>
      <c r="G25" s="55"/>
      <c r="H25" s="56" t="s">
        <v>435</v>
      </c>
      <c r="I25" s="57"/>
      <c r="J25" s="58"/>
    </row>
    <row r="26" spans="2:24" ht="17.25" thickBot="1" x14ac:dyDescent="0.35">
      <c r="B26" s="17" t="str">
        <f>V30</f>
        <v>INSTALL_DIR</v>
      </c>
      <c r="C26" s="68" t="s">
        <v>436</v>
      </c>
      <c r="D26" s="69"/>
      <c r="E26" s="69"/>
      <c r="F26" s="69"/>
      <c r="G26" s="70"/>
      <c r="H26" s="71" t="s">
        <v>437</v>
      </c>
      <c r="I26" s="72"/>
      <c r="J26" s="73"/>
    </row>
    <row r="27" spans="2:24" ht="17.25" thickBot="1" x14ac:dyDescent="0.35"/>
    <row r="28" spans="2:24" ht="17.25" thickBot="1" x14ac:dyDescent="0.35">
      <c r="B28" s="30" t="s">
        <v>378</v>
      </c>
      <c r="C28" s="2">
        <v>60</v>
      </c>
      <c r="E28" s="30" t="s">
        <v>379</v>
      </c>
      <c r="F28" s="2" t="s">
        <v>402</v>
      </c>
      <c r="I28" s="2" t="s">
        <v>383</v>
      </c>
      <c r="J28" s="65" t="str">
        <f>"http://mirror.kakao.com/centos"</f>
        <v>http://mirror.kakao.com/centos</v>
      </c>
      <c r="K28" s="66"/>
      <c r="L28" s="67"/>
    </row>
    <row r="29" spans="2:24" ht="17.25" thickBot="1" x14ac:dyDescent="0.35"/>
    <row r="30" spans="2:24" ht="17.25" thickBot="1" x14ac:dyDescent="0.35">
      <c r="B30" s="15" t="s">
        <v>64</v>
      </c>
      <c r="C30" s="15" t="s">
        <v>60</v>
      </c>
      <c r="D30" s="15" t="s">
        <v>54</v>
      </c>
      <c r="E30" s="13" t="s">
        <v>61</v>
      </c>
      <c r="F30" s="13" t="s">
        <v>396</v>
      </c>
      <c r="G30" s="13" t="s">
        <v>62</v>
      </c>
      <c r="H30" s="18" t="s">
        <v>48</v>
      </c>
      <c r="I30" s="13" t="s">
        <v>50</v>
      </c>
      <c r="J30" s="12" t="s">
        <v>51</v>
      </c>
      <c r="K30" s="12" t="s">
        <v>52</v>
      </c>
      <c r="L30" s="12" t="s">
        <v>53</v>
      </c>
      <c r="M30" s="12" t="s">
        <v>0</v>
      </c>
      <c r="N30" s="12" t="s">
        <v>49</v>
      </c>
      <c r="O30" s="12" t="s">
        <v>47</v>
      </c>
      <c r="P30" s="12" t="s">
        <v>55</v>
      </c>
      <c r="Q30" s="12" t="s">
        <v>56</v>
      </c>
      <c r="R30" s="12" t="s">
        <v>57</v>
      </c>
      <c r="S30" s="12" t="s">
        <v>58</v>
      </c>
      <c r="T30" s="12" t="s">
        <v>59</v>
      </c>
      <c r="U30" s="12" t="s">
        <v>63</v>
      </c>
      <c r="V30" s="12" t="s">
        <v>66</v>
      </c>
    </row>
    <row r="31" spans="2:24" x14ac:dyDescent="0.3">
      <c r="B31" s="29" t="s">
        <v>353</v>
      </c>
      <c r="C31" s="29" t="s">
        <v>304</v>
      </c>
      <c r="D31" s="29">
        <v>11</v>
      </c>
      <c r="E31" s="29" t="s">
        <v>361</v>
      </c>
      <c r="F31" s="46">
        <v>22</v>
      </c>
      <c r="G31" s="47" t="s">
        <v>403</v>
      </c>
      <c r="H31" s="29">
        <v>1500</v>
      </c>
      <c r="I31" s="29" t="s">
        <v>345</v>
      </c>
      <c r="J31" s="29"/>
      <c r="K31" s="29"/>
      <c r="L31" s="29"/>
      <c r="M31" s="5"/>
      <c r="N31" s="29">
        <v>5432</v>
      </c>
      <c r="O31" s="29" t="s">
        <v>308</v>
      </c>
      <c r="P31" s="29" t="s">
        <v>362</v>
      </c>
      <c r="Q31" s="29"/>
      <c r="R31" s="29"/>
      <c r="S31" s="29"/>
      <c r="T31" s="29" t="s">
        <v>349</v>
      </c>
      <c r="U31" s="29"/>
      <c r="V31" s="29"/>
      <c r="W31" s="19" t="str">
        <f>"""D:\POSTGRESQL_INSTALL\putty\pscp.exe"" -P "&amp;F31&amp;" -pw "&amp;G31&amp;" ""D:\POSTGRESQL_INSTALL\execute\"&amp;B31&amp;C31&amp;"1.txt"" "&amp;" root@"&amp;E31&amp;":"""&amp;IF(V31="","/root",V31)&amp;"/parameter.sh"" _x000D_
timeout 3 _x000D_
""D:\POSTGRESQL_INSTALL\putty\pscp.exe"" -P "&amp;F31&amp;" -pw "&amp;G31&amp;" ""D:\POSTGRESQL_INSTALL\template\pg_install.sh"" root@"&amp;E31&amp;":"""&amp;IF(V31="","/root",V31)&amp;"/pg_install.sh"" _x000D_
timeout 3 _x000D_
""D:\POSTGRESQL_INSTALL\putty\pscp.exe"" -P "&amp;F31&amp;" -pw "&amp;G31&amp;" ""D:\POSTGRESQL_INSTALL\rpm\postgresql11-*.rhel7*.x86_64.rpm"" root@"&amp;E31&amp;":"""&amp;IF(V31="","/root",V31)&amp;"/""_x000D_
timeout 3 _x000D_
""D:\POSTGRESQL_INSTALL\putty\pscp.exe"" -P "&amp;F31&amp;" -pw "&amp;G31&amp;" ""D:\POSTGRESQL_INSTALL\rpm\libxslt-*.el7*.x86_64.rpm"" root@"&amp;E31&amp;":"""&amp;IF(V31="","/root",V31)&amp;"/""_x000D_
timeout 3 _x000D_
""D:\POSTGRESQL_INSTALL\putty\pscp.exe"" -P "&amp;F31&amp;" -pw "&amp;G31&amp;" ""D:\POSTGRESQL_INSTALL\rpm\*.el7*.noarch.rpm"" root@"&amp;E31&amp;":"""&amp;IF(V31="","/root",V31)&amp;"/""_x000D_
timeout 3 _x000D_
""D:\POSTGRESQL_INSTALL\putty\pscp.exe"" -P "&amp;F31&amp;" -pw "&amp;G31&amp;" ""D:\POSTGRESQL_INSTALL\rpm\libicu-*.el7*.x86_64.rpm"" root@"&amp;E31&amp;":"""&amp;IF(V31="","/root",V31)&amp;"/""_x000D_
timeout 3 _x000D_
""D:\POSTGRESQL_INSTALL\putty\pscp.exe"" -P "&amp;F31&amp;" -pw "&amp;G31&amp;" ""D:\POSTGRESQL_INSTALL\rpm\perl-*.el7*.x86_64.rpm"" root@"&amp;E31&amp;":"""&amp;IF(V31="","/root",V31)&amp;"/""_x000D_
timeout 3 _x000D_
""D:\POSTGRESQL_INSTALL\putty\pscp.exe"" -P "&amp;F31&amp;" -pw "&amp;G31&amp;" ""D:\POSTGRESQL_INSTALL\rpm\python2-*el7*.*.rpm"" root@"&amp;E31&amp;":"""&amp;IF(V31="","/root",V31)&amp;"/""_x000D_
timeout 3 _x000D_
""D:\POSTGRESQL_INSTALL\putty\plink.exe"" -P "&amp;F31&amp;" -pw "&amp;G31&amp;" -ssh root@"&amp;E31&amp;" -batch -m ""D:\POSTGRESQL_INSTALL\execute\bkbsparkCentOS_7_64bit2_start.txt""_x000D_
timeout 3 _x000D_
""D:\POSTGRESQL_INSTALL\putty\pscp.exe"" -P "&amp;F31&amp;" -pw "&amp;G31&amp;" root@"&amp;E31&amp;":"""&amp;IF(V31="","/root",V31)&amp;"/PG_bkbspark_INSTALL_error.log"" ""D:\POSTGRESQL_INSTALL\log\"&amp;B31&amp;C31&amp;".log""_x000D_
""D:\POSTGRESQL_INSTALL\putty\pscp.exe"" -P "&amp;F31&amp;" -pw "&amp;G31&amp;" root@"&amp;E31&amp;":"""&amp;IF(V31="","/root",V31)&amp;"/PG_bkbspark_INSTALL_error.vbs"" ""D:\POSTGRESQL_INSTALL\log\"&amp;B31&amp;C31&amp;".vbs"""</f>
        <v>"D:\POSTGRESQL_INSTALL\putty\pscp.exe" -P 22 -pw mysrvpass "D:\POSTGRESQL_INSTALL\execute\bkbsparkCentOS_7_64bit1.txt"  root@192.168.174.184:"/root/parameter.sh" _x000D_
timeout 3 _x000D_
"D:\POSTGRESQL_INSTALL\putty\pscp.exe" -P 22 -pw mysrvpass "D:\POSTGRESQL_INSTALL\template\pg_install.sh" root@192.168.174.184:"/root/pg_install.sh" _x000D_
timeout 3 _x000D_
"D:\POSTGRESQL_INSTALL\putty\pscp.exe" -P 22 -pw mysrvpass "D:\POSTGRESQL_INSTALL\rpm\postgresql11-*.rhel7*.x86_64.rpm" root@192.168.174.184:"/root/"_x000D_
timeout 3 _x000D_
"D:\POSTGRESQL_INSTALL\putty\pscp.exe" -P 22 -pw mysrvpass "D:\POSTGRESQL_INSTALL\rpm\libxslt-*.el7*.x86_64.rpm" root@192.168.174.184:"/root/"_x000D_
timeout 3 _x000D_
"D:\POSTGRESQL_INSTALL\putty\pscp.exe" -P 22 -pw mysrvpass "D:\POSTGRESQL_INSTALL\rpm\*.el7*.noarch.rpm" root@192.168.174.184:"/root/"_x000D_
timeout 3 _x000D_
"D:\POSTGRESQL_INSTALL\putty\pscp.exe" -P 22 -pw mysrvpass "D:\POSTGRESQL_INSTALL\rpm\libicu-*.el7*.x86_64.rpm" root@192.168.174.184:"/root/"_x000D_
timeout 3 _x000D_
"D:\POSTGRESQL_INSTALL\putty\pscp.exe" -P 22 -pw mysrvpass "D:\POSTGRESQL_INSTALL\rpm\perl-*.el7*.x86_64.rpm" root@192.168.174.184:"/root/"_x000D_
timeout 3 _x000D_
"D:\POSTGRESQL_INSTALL\putty\pscp.exe" -P 22 -pw mysrvpass "D:\POSTGRESQL_INSTALL\rpm\python2-*el7*.*.rpm" root@192.168.174.184:"/root/"_x000D_
timeout 3 _x000D_
"D:\POSTGRESQL_INSTALL\putty\plink.exe" -P 22 -pw mysrvpass -ssh root@192.168.174.184 -batch -m "D:\POSTGRESQL_INSTALL\execute\bkbsparkCentOS_7_64bit2_start.txt"_x000D_
timeout 3 _x000D_
"D:\POSTGRESQL_INSTALL\putty\pscp.exe" -P 22 -pw mysrvpass root@192.168.174.184:"/root/PG_bkbspark_INSTALL_error.log" "D:\POSTGRESQL_INSTALL\log\bkbsparkCentOS_7_64bit.log"_x000D_
"D:\POSTGRESQL_INSTALL\putty\pscp.exe" -P 22 -pw mysrvpass root@192.168.174.184:"/root/PG_bkbspark_INSTALL_error.vbs" "D:\POSTGRESQL_INSTALL\log\bkbsparkCentOS_7_64bit.vbs"</v>
      </c>
      <c r="X31" s="19">
        <v>0</v>
      </c>
    </row>
    <row r="32" spans="2:24" x14ac:dyDescent="0.3">
      <c r="B32" s="29" t="s">
        <v>363</v>
      </c>
      <c r="C32" s="29" t="s">
        <v>306</v>
      </c>
      <c r="D32" s="29">
        <v>9.4</v>
      </c>
      <c r="E32" s="29" t="s">
        <v>364</v>
      </c>
      <c r="F32" s="46">
        <v>22</v>
      </c>
      <c r="G32" s="47" t="s">
        <v>404</v>
      </c>
      <c r="H32" s="29">
        <v>400</v>
      </c>
      <c r="I32" s="29" t="str">
        <f>"/DATA"</f>
        <v>/DATA</v>
      </c>
      <c r="J32" s="29" t="s">
        <v>346</v>
      </c>
      <c r="K32" s="29" t="s">
        <v>365</v>
      </c>
      <c r="L32" s="29" t="s">
        <v>347</v>
      </c>
      <c r="M32" s="29" t="s">
        <v>366</v>
      </c>
      <c r="N32" s="29">
        <v>3284</v>
      </c>
      <c r="O32" s="29"/>
      <c r="P32" s="29" t="s">
        <v>348</v>
      </c>
      <c r="Q32" s="29" t="s">
        <v>343</v>
      </c>
      <c r="R32" s="29" t="s">
        <v>367</v>
      </c>
      <c r="S32" s="29" t="s">
        <v>368</v>
      </c>
      <c r="T32" s="29" t="s">
        <v>1</v>
      </c>
      <c r="U32" s="29" t="s">
        <v>398</v>
      </c>
      <c r="V32" s="46" t="s">
        <v>400</v>
      </c>
      <c r="W32" s="19" t="str">
        <f>"""D:\POSTGRESQL_INSTALL\putty\pscp.exe"" -P "&amp;F32&amp;" -pw "&amp;G32&amp;" ""D:\POSTGRESQL_INSTALL\execute\"&amp;B32&amp;C32&amp;"1.txt"" "&amp;" root@"&amp;E32&amp;":"""&amp;IF(V32="","/root",V32)&amp;"/parameter.sh"" _x000D_
timeout 3 _x000D_
""D:\POSTGRESQL_INSTALL\putty\pscp.exe"" -P "&amp;F32&amp;" -pw "&amp;G32&amp;" ""D:\POSTGRESQL_INSTALL\template\pg_install.sh"" root@"&amp;E32&amp;":"""&amp;IF(V32="","/root",V32)&amp;"/pg_install.sh"" _x000D_
timeout 3 _x000D_
""D:\POSTGRESQL_INSTALL\putty\pscp.exe"" -P "&amp;F32&amp;" -pw "&amp;G32&amp;" ""D:\POSTGRESQL_INSTALL\rpm\postgresql94-*.rhel6*.x86_64.rpm"" root@"&amp;E32&amp;":"""&amp;IF(V32="","/root",V32)&amp;"/""_x000D_
timeout 3 _x000D_
""D:\POSTGRESQL_INSTALL\putty\pscp.exe"" -P "&amp;F32&amp;" -pw "&amp;G32&amp;" ""D:\POSTGRESQL_INSTALL\rpm\libxslt-*.el6*.x86_64.rpm"" root@"&amp;E32&amp;":"""&amp;IF(V32="","/root",V32)&amp;"/""_x000D_
timeout 3 _x000D_
""D:\POSTGRESQL_INSTALL\putty\pscp.exe"" -P "&amp;F32&amp;" -pw "&amp;G32&amp;" ""D:\POSTGRESQL_INSTALL\rpm\*.el6*.noarch.rpm"" root@"&amp;E32&amp;":"""&amp;IF(V32="","/root",V32)&amp;"/""_x000D_
timeout 3 _x000D_
""D:\POSTGRESQL_INSTALL\putty\pscp.exe"" -P "&amp;F32&amp;" -pw "&amp;G32&amp;" ""D:\POSTGRESQL_INSTALL\rpm\libicu-*.el6*.x86_64.rpm"" root@"&amp;E32&amp;":"""&amp;IF(V32="","/root",V32)&amp;"/""_x000D_
timeout 3 _x000D_
""D:\POSTGRESQL_INSTALL\putty\pscp.exe"" -P "&amp;F32&amp;" -pw "&amp;G32&amp;" ""D:\POSTGRESQL_INSTALL\rpm\perl-*.el6*.x86_64.rpm"" root@"&amp;E32&amp;":"""&amp;IF(V32="","/root",V32)&amp;"/""_x000D_
timeout 3 _x000D_
""D:\POSTGRESQL_INSTALL\putty\pscp.exe"" -P "&amp;F32&amp;" -pw "&amp;G32&amp;" ""D:\POSTGRESQL_INSTALL\rpm\python2-*el6*.*.rpm"" root@"&amp;E32&amp;":"""&amp;IF(V32="","/root",V32)&amp;"/""_x000D_
timeout 3 _x000D_
""D:\POSTGRESQL_INSTALL\putty\plink.exe"" -P "&amp;F32&amp;" -pw "&amp;G32&amp;" -ssh root@"&amp;E32&amp;" -batch -m ""D:\POSTGRESQL_INSTALL\execute\testCentOS_6_64bit2_start.txt""_x000D_
timeout 3 _x000D_
""D:\POSTGRESQL_INSTALL\putty\pscp.exe"" -P "&amp;F32&amp;" -pw "&amp;G32&amp;" root@"&amp;E32&amp;":"""&amp;IF(V32="","/root",V32)&amp;"/PG_bkbspark_INSTALL_error.log"" ""D:\POSTGRESQL_INSTALL\log\"&amp;B32&amp;C32&amp;".log""_x000D_
""D:\POSTGRESQL_INSTALL\putty\pscp.exe"" -P "&amp;F32&amp;" -pw "&amp;G32&amp;" root@"&amp;E32&amp;":"""&amp;IF(V32="","/root",V32)&amp;"/PG_bkbspark_INSTALL_error.vbs"" ""D:\POSTGRESQL_INSTALL\log\"&amp;B32&amp;C32&amp;".vbs"""</f>
        <v>"D:\POSTGRESQL_INSTALL\putty\pscp.exe" -P 22 -pw qwer1234 "D:\POSTGRESQL_INSTALL\execute\testCentOS_6_64bit1.txt"  root@192.168.174.185:"/install dir/parameter.sh" _x000D_
timeout 3 _x000D_
"D:\POSTGRESQL_INSTALL\putty\pscp.exe" -P 22 -pw qwer1234 "D:\POSTGRESQL_INSTALL\template\pg_install.sh" root@192.168.174.185:"/install dir/pg_install.sh" _x000D_
timeout 3 _x000D_
"D:\POSTGRESQL_INSTALL\putty\pscp.exe" -P 22 -pw qwer1234 "D:\POSTGRESQL_INSTALL\rpm\postgresql94-*.rhel6*.x86_64.rpm" root@192.168.174.185:"/install dir/"_x000D_
timeout 3 _x000D_
"D:\POSTGRESQL_INSTALL\putty\pscp.exe" -P 22 -pw qwer1234 "D:\POSTGRESQL_INSTALL\rpm\libxslt-*.el6*.x86_64.rpm" root@192.168.174.185:"/install dir/"_x000D_
timeout 3 _x000D_
"D:\POSTGRESQL_INSTALL\putty\pscp.exe" -P 22 -pw qwer1234 "D:\POSTGRESQL_INSTALL\rpm\*.el6*.noarch.rpm" root@192.168.174.185:"/install dir/"_x000D_
timeout 3 _x000D_
"D:\POSTGRESQL_INSTALL\putty\pscp.exe" -P 22 -pw qwer1234 "D:\POSTGRESQL_INSTALL\rpm\libicu-*.el6*.x86_64.rpm" root@192.168.174.185:"/install dir/"_x000D_
timeout 3 _x000D_
"D:\POSTGRESQL_INSTALL\putty\pscp.exe" -P 22 -pw qwer1234 "D:\POSTGRESQL_INSTALL\rpm\perl-*.el6*.x86_64.rpm" root@192.168.174.185:"/install dir/"_x000D_
timeout 3 _x000D_
"D:\POSTGRESQL_INSTALL\putty\pscp.exe" -P 22 -pw qwer1234 "D:\POSTGRESQL_INSTALL\rpm\python2-*el6*.*.rpm" root@192.168.174.185:"/install dir/"_x000D_
timeout 3 _x000D_
"D:\POSTGRESQL_INSTALL\putty\plink.exe" -P 22 -pw qwer1234 -ssh root@192.168.174.185 -batch -m "D:\POSTGRESQL_INSTALL\execute\testCentOS_6_64bit2_start.txt"_x000D_
timeout 3 _x000D_
"D:\POSTGRESQL_INSTALL\putty\pscp.exe" -P 22 -pw qwer1234 root@192.168.174.185:"/install dir/PG_bkbspark_INSTALL_error.log" "D:\POSTGRESQL_INSTALL\log\testCentOS_6_64bit.log"_x000D_
"D:\POSTGRESQL_INSTALL\putty\pscp.exe" -P 22 -pw qwer1234 root@192.168.174.185:"/install dir/PG_bkbspark_INSTALL_error.vbs" "D:\POSTGRESQL_INSTALL\log\testCentOS_6_64bit.vbs"</v>
      </c>
      <c r="X32" s="19">
        <v>0</v>
      </c>
    </row>
    <row r="33" spans="2:24" x14ac:dyDescent="0.3">
      <c r="B33" s="29" t="s">
        <v>369</v>
      </c>
      <c r="C33" s="29" t="s">
        <v>65</v>
      </c>
      <c r="D33" s="29">
        <v>9.5</v>
      </c>
      <c r="E33" s="29" t="s">
        <v>370</v>
      </c>
      <c r="F33" s="46">
        <v>22</v>
      </c>
      <c r="G33" s="47" t="s">
        <v>405</v>
      </c>
      <c r="H33" s="29">
        <v>322</v>
      </c>
      <c r="I33" s="29" t="s">
        <v>345</v>
      </c>
      <c r="J33" s="29" t="s">
        <v>322</v>
      </c>
      <c r="K33" s="29"/>
      <c r="L33" s="29" t="s">
        <v>371</v>
      </c>
      <c r="M33" s="5"/>
      <c r="N33" s="29">
        <v>4353</v>
      </c>
      <c r="O33" s="29" t="s">
        <v>308</v>
      </c>
      <c r="P33" s="29" t="s">
        <v>362</v>
      </c>
      <c r="Q33" s="29" t="s">
        <v>1</v>
      </c>
      <c r="R33" s="29" t="s">
        <v>352</v>
      </c>
      <c r="S33" s="29" t="s">
        <v>344</v>
      </c>
      <c r="T33" s="29" t="s">
        <v>372</v>
      </c>
      <c r="U33" s="29" t="s">
        <v>399</v>
      </c>
      <c r="V33" s="46" t="s">
        <v>401</v>
      </c>
      <c r="W33" s="19" t="str">
        <f>"""D:\POSTGRESQL_INSTALL\putty\pscp.exe"" -P "&amp;F33&amp;" -pw "&amp;G33&amp;" ""D:\POSTGRESQL_INSTALL\execute\"&amp;B33&amp;C33&amp;"1.txt"" "&amp;" root@"&amp;E33&amp;":"""&amp;IF(V33="","/root",V33)&amp;"/parameter.sh"" _x000D_
timeout 3 _x000D_
""D:\POSTGRESQL_INSTALL\putty\pscp.exe"" -P "&amp;F33&amp;" -pw "&amp;G33&amp;" ""D:\POSTGRESQL_INSTALL\template\pg_install.sh"" root@"&amp;E33&amp;":"""&amp;IF(V33="","/root",V33)&amp;"/pg_install.sh"" _x000D_
timeout 3 _x000D_
""D:\POSTGRESQL_INSTALL\putty\pscp.exe"" -P "&amp;F33&amp;" -pw "&amp;G33&amp;" ""D:\POSTGRESQL_INSTALL\rpm\postgresql95-*.rhel6*.i686.rpm"" root@"&amp;E33&amp;":"""&amp;IF(V33="","/root",V33)&amp;"/""_x000D_
timeout 3 _x000D_
""D:\POSTGRESQL_INSTALL\putty\pscp.exe"" -P "&amp;F33&amp;" -pw "&amp;G33&amp;" ""D:\POSTGRESQL_INSTALL\rpm\libxslt-*.el6*.i686.rpm"" root@"&amp;E33&amp;":"""&amp;IF(V33="","/root",V33)&amp;"/""_x000D_
timeout 3 _x000D_
""D:\POSTGRESQL_INSTALL\putty\pscp.exe"" -P "&amp;F33&amp;" -pw "&amp;G33&amp;" ""D:\POSTGRESQL_INSTALL\rpm\*.el6*.noarch.rpm"" root@"&amp;E33&amp;":"""&amp;IF(V33="","/root",V33)&amp;"/""_x000D_
timeout 3 _x000D_
""D:\POSTGRESQL_INSTALL\putty\pscp.exe"" -P "&amp;F33&amp;" -pw "&amp;G33&amp;" ""D:\POSTGRESQL_INSTALL\rpm\libicu-*.el6*.i686.rpm"" root@"&amp;E33&amp;":"""&amp;IF(V33="","/root",V33)&amp;"/""_x000D_
timeout 3 _x000D_
""D:\POSTGRESQL_INSTALL\putty\pscp.exe"" -P "&amp;F33&amp;" -pw "&amp;G33&amp;" ""D:\POSTGRESQL_INSTALL\rpm\perl-*.el6*.i686.rpm"" root@"&amp;E33&amp;":"""&amp;IF(V33="","/root",V33)&amp;"/""_x000D_
timeout 3 _x000D_
""D:\POSTGRESQL_INSTALL\putty\pscp.exe"" -P "&amp;F33&amp;" -pw "&amp;G33&amp;" ""D:\POSTGRESQL_INSTALL\rpm\python2-*el6*.*.rpm"" root@"&amp;E33&amp;":"""&amp;IF(V33="","/root",V33)&amp;"/""_x000D_
timeout 3 _x000D_
""D:\POSTGRESQL_INSTALL\putty\plink.exe"" -P "&amp;F33&amp;" -pw "&amp;G33&amp;" -ssh root@"&amp;E33&amp;" -batch -m ""D:\POSTGRESQL_INSTALL\execute\test2CentOS_6_32bit2_start.txt""_x000D_
timeout 3 _x000D_
""D:\POSTGRESQL_INSTALL\putty\pscp.exe"" -P "&amp;F33&amp;" -pw "&amp;G33&amp;" root@"&amp;E33&amp;":"""&amp;IF(V33="","/root",V33)&amp;"/PG_bkbspark_INSTALL_error.log"" ""D:\POSTGRESQL_INSTALL\log\"&amp;B33&amp;C33&amp;".log""_x000D_
""D:\POSTGRESQL_INSTALL\putty\pscp.exe"" -P "&amp;F33&amp;" -pw "&amp;G33&amp;" root@"&amp;E33&amp;":"""&amp;IF(V33="","/root",V33)&amp;"/PG_bkbspark_INSTALL_error.vbs"" ""D:\POSTGRESQL_INSTALL\log\"&amp;B33&amp;C33&amp;".vbs"""</f>
        <v>"D:\POSTGRESQL_INSTALL\putty\pscp.exe" -P 22 -pw serverpsswd "D:\POSTGRESQL_INSTALL\execute\test2CentOS_6_32bit1.txt"  root@192.168.174.186:"/root/parameter.sh" _x000D_
timeout 3 _x000D_
"D:\POSTGRESQL_INSTALL\putty\pscp.exe" -P 22 -pw serverpsswd "D:\POSTGRESQL_INSTALL\template\pg_install.sh" root@192.168.174.186:"/root/pg_install.sh" _x000D_
timeout 3 _x000D_
"D:\POSTGRESQL_INSTALL\putty\pscp.exe" -P 22 -pw serverpsswd "D:\POSTGRESQL_INSTALL\rpm\postgresql95-*.rhel6*.i686.rpm" root@192.168.174.186:"/root/"_x000D_
timeout 3 _x000D_
"D:\POSTGRESQL_INSTALL\putty\pscp.exe" -P 22 -pw serverpsswd "D:\POSTGRESQL_INSTALL\rpm\libxslt-*.el6*.i686.rpm" root@192.168.174.186:"/root/"_x000D_
timeout 3 _x000D_
"D:\POSTGRESQL_INSTALL\putty\pscp.exe" -P 22 -pw serverpsswd "D:\POSTGRESQL_INSTALL\rpm\*.el6*.noarch.rpm" root@192.168.174.186:"/root/"_x000D_
timeout 3 _x000D_
"D:\POSTGRESQL_INSTALL\putty\pscp.exe" -P 22 -pw serverpsswd "D:\POSTGRESQL_INSTALL\rpm\libicu-*.el6*.i686.rpm" root@192.168.174.186:"/root/"_x000D_
timeout 3 _x000D_
"D:\POSTGRESQL_INSTALL\putty\pscp.exe" -P 22 -pw serverpsswd "D:\POSTGRESQL_INSTALL\rpm\perl-*.el6*.i686.rpm" root@192.168.174.186:"/root/"_x000D_
timeout 3 _x000D_
"D:\POSTGRESQL_INSTALL\putty\pscp.exe" -P 22 -pw serverpsswd "D:\POSTGRESQL_INSTALL\rpm\python2-*el6*.*.rpm" root@192.168.174.186:"/root/"_x000D_
timeout 3 _x000D_
"D:\POSTGRESQL_INSTALL\putty\plink.exe" -P 22 -pw serverpsswd -ssh root@192.168.174.186 -batch -m "D:\POSTGRESQL_INSTALL\execute\test2CentOS_6_32bit2_start.txt"_x000D_
timeout 3 _x000D_
"D:\POSTGRESQL_INSTALL\putty\pscp.exe" -P 22 -pw serverpsswd root@192.168.174.186:"/root/PG_bkbspark_INSTALL_error.log" "D:\POSTGRESQL_INSTALL\log\test2CentOS_6_32bit.log"_x000D_
"D:\POSTGRESQL_INSTALL\putty\pscp.exe" -P 22 -pw serverpsswd root@192.168.174.186:"/root/PG_bkbspark_INSTALL_error.vbs" "D:\POSTGRESQL_INSTALL\log\test2CentOS_6_32bit.vbs"</v>
      </c>
      <c r="X33" s="19">
        <v>0</v>
      </c>
    </row>
    <row r="34" spans="2:24" x14ac:dyDescent="0.3">
      <c r="B34" s="29" t="s">
        <v>373</v>
      </c>
      <c r="C34" s="29" t="s">
        <v>309</v>
      </c>
      <c r="D34" s="29">
        <v>12</v>
      </c>
      <c r="E34" s="29" t="s">
        <v>305</v>
      </c>
      <c r="F34" s="46">
        <v>22</v>
      </c>
      <c r="G34" s="47" t="s">
        <v>406</v>
      </c>
      <c r="H34" s="29">
        <v>324</v>
      </c>
      <c r="I34" s="29" t="str">
        <f>"/DATA"</f>
        <v>/DATA</v>
      </c>
      <c r="J34" s="29"/>
      <c r="K34" s="29" t="s">
        <v>365</v>
      </c>
      <c r="L34" s="29"/>
      <c r="M34" s="5" t="s">
        <v>374</v>
      </c>
      <c r="N34" s="29">
        <v>5432</v>
      </c>
      <c r="O34" s="29"/>
      <c r="P34" s="29" t="s">
        <v>375</v>
      </c>
      <c r="Q34" s="29" t="s">
        <v>311</v>
      </c>
      <c r="R34" s="29" t="s">
        <v>376</v>
      </c>
      <c r="S34" s="29" t="s">
        <v>367</v>
      </c>
      <c r="T34" s="29" t="s">
        <v>377</v>
      </c>
      <c r="U34" s="29" t="s">
        <v>397</v>
      </c>
      <c r="V34" s="46" t="s">
        <v>341</v>
      </c>
      <c r="W34" s="19" t="str">
        <f>"""D:\POSTGRESQL_INSTALL\putty\pscp.exe"" -P "&amp;F34&amp;" -pw "&amp;G34&amp;" ""D:\POSTGRESQL_INSTALL\execute\"&amp;B34&amp;C34&amp;"1.txt"" "&amp;" root@"&amp;E34&amp;":"""&amp;IF(V34="","/root",V34)&amp;"/parameter.sh"" _x000D_
timeout 3 _x000D_
""D:\POSTGRESQL_INSTALL\putty\pscp.exe"" -P "&amp;F34&amp;" -pw "&amp;G34&amp;" ""D:\POSTGRESQL_INSTALL\template\pg_install.sh"" root@"&amp;E34&amp;":"""&amp;IF(V34="","/root",V34)&amp;"/pg_install.sh"" _x000D_
timeout 3 _x000D_
""D:\POSTGRESQL_INSTALL\putty\pscp.exe"" -P "&amp;F34&amp;" -pw "&amp;G34&amp;" ""D:\POSTGRESQL_INSTALL\rpm\postgresql12-*.rhel8*.x86_64.rpm"" root@"&amp;E34&amp;":"""&amp;IF(V34="","/root",V34)&amp;"/""_x000D_
timeout 3 _x000D_
""D:\POSTGRESQL_INSTALL\putty\pscp.exe"" -P "&amp;F34&amp;" -pw "&amp;G34&amp;" ""D:\POSTGRESQL_INSTALL\rpm\libxslt-*.el8*.x86_64.rpm"" root@"&amp;E34&amp;":"""&amp;IF(V34="","/root",V34)&amp;"/""_x000D_
timeout 3 _x000D_
""D:\POSTGRESQL_INSTALL\putty\pscp.exe"" -P "&amp;F34&amp;" -pw "&amp;G34&amp;" ""D:\POSTGRESQL_INSTALL\rpm\*.el8*.noarch.rpm"" root@"&amp;E34&amp;":"""&amp;IF(V34="","/root",V34)&amp;"/""_x000D_
timeout 3 _x000D_
""D:\POSTGRESQL_INSTALL\putty\pscp.exe"" -P "&amp;F34&amp;" -pw "&amp;G34&amp;" ""D:\POSTGRESQL_INSTALL\rpm\libicu-*.el8*.x86_64.rpm"" root@"&amp;E34&amp;":"""&amp;IF(V34="","/root",V34)&amp;"/""_x000D_
timeout 3 _x000D_
""D:\POSTGRESQL_INSTALL\putty\pscp.exe"" -P "&amp;F34&amp;" -pw "&amp;G34&amp;" ""D:\POSTGRESQL_INSTALL\rpm\perl-*.el8*.x86_64.rpm"" root@"&amp;E34&amp;":"""&amp;IF(V34="","/root",V34)&amp;"/""_x000D_
timeout 3 _x000D_
""D:\POSTGRESQL_INSTALL\putty\pscp.exe"" -P "&amp;F34&amp;" -pw "&amp;G34&amp;" ""D:\POSTGRESQL_INSTALL\rpm\python2-*el8*.*.rpm"" root@"&amp;E34&amp;":"""&amp;IF(V34="","/root",V34)&amp;"/""_x000D_
timeout 3 _x000D_
""D:\POSTGRESQL_INSTALL\putty\plink.exe"" -P "&amp;F34&amp;" -pw "&amp;G34&amp;" -ssh root@"&amp;E34&amp;" -batch -m ""D:\POSTGRESQL_INSTALL\execute\test3CentOS_8_64bit2_start.txt""_x000D_
timeout 3 _x000D_
""D:\POSTGRESQL_INSTALL\putty\pscp.exe"" -P "&amp;F34&amp;" -pw "&amp;G34&amp;" root@"&amp;E34&amp;":"""&amp;IF(V34="","/root",V34)&amp;"/PG_bkbspark_INSTALL_error.log"" ""D:\POSTGRESQL_INSTALL\log\"&amp;B34&amp;C34&amp;".log""_x000D_
""D:\POSTGRESQL_INSTALL\putty\pscp.exe"" -P "&amp;F34&amp;" -pw "&amp;G34&amp;" root@"&amp;E34&amp;":"""&amp;IF(V34="","/root",V34)&amp;"/PG_bkbspark_INSTALL_error.vbs"" ""D:\POSTGRESQL_INSTALL\log\"&amp;B34&amp;C34&amp;".vbs"""</f>
        <v>"D:\POSTGRESQL_INSTALL\putty\pscp.exe" -P 22 -pw passw@rd "D:\POSTGRESQL_INSTALL\execute\test3CentOS_8_64bit1.txt"  root@192.168.174.187:"/install_dir/parameter.sh" _x000D_
timeout 3 _x000D_
"D:\POSTGRESQL_INSTALL\putty\pscp.exe" -P 22 -pw passw@rd "D:\POSTGRESQL_INSTALL\template\pg_install.sh" root@192.168.174.187:"/install_dir/pg_install.sh" _x000D_
timeout 3 _x000D_
"D:\POSTGRESQL_INSTALL\putty\pscp.exe" -P 22 -pw passw@rd "D:\POSTGRESQL_INSTALL\rpm\postgresql12-*.rhel8*.x86_64.rpm" root@192.168.174.187:"/install_dir/"_x000D_
timeout 3 _x000D_
"D:\POSTGRESQL_INSTALL\putty\pscp.exe" -P 22 -pw passw@rd "D:\POSTGRESQL_INSTALL\rpm\libxslt-*.el8*.x86_64.rpm" root@192.168.174.187:"/install_dir/"_x000D_
timeout 3 _x000D_
"D:\POSTGRESQL_INSTALL\putty\pscp.exe" -P 22 -pw passw@rd "D:\POSTGRESQL_INSTALL\rpm\*.el8*.noarch.rpm" root@192.168.174.187:"/install_dir/"_x000D_
timeout 3 _x000D_
"D:\POSTGRESQL_INSTALL\putty\pscp.exe" -P 22 -pw passw@rd "D:\POSTGRESQL_INSTALL\rpm\libicu-*.el8*.x86_64.rpm" root@192.168.174.187:"/install_dir/"_x000D_
timeout 3 _x000D_
"D:\POSTGRESQL_INSTALL\putty\pscp.exe" -P 22 -pw passw@rd "D:\POSTGRESQL_INSTALL\rpm\perl-*.el8*.x86_64.rpm" root@192.168.174.187:"/install_dir/"_x000D_
timeout 3 _x000D_
"D:\POSTGRESQL_INSTALL\putty\pscp.exe" -P 22 -pw passw@rd "D:\POSTGRESQL_INSTALL\rpm\python2-*el8*.*.rpm" root@192.168.174.187:"/install_dir/"_x000D_
timeout 3 _x000D_
"D:\POSTGRESQL_INSTALL\putty\plink.exe" -P 22 -pw passw@rd -ssh root@192.168.174.187 -batch -m "D:\POSTGRESQL_INSTALL\execute\test3CentOS_8_64bit2_start.txt"_x000D_
timeout 3 _x000D_
"D:\POSTGRESQL_INSTALL\putty\pscp.exe" -P 22 -pw passw@rd root@192.168.174.187:"/install_dir/PG_bkbspark_INSTALL_error.log" "D:\POSTGRESQL_INSTALL\log\test3CentOS_8_64bit.log"_x000D_
"D:\POSTGRESQL_INSTALL\putty\pscp.exe" -P 22 -pw passw@rd root@192.168.174.187:"/install_dir/PG_bkbspark_INSTALL_error.vbs" "D:\POSTGRESQL_INSTALL\log\test3CentOS_8_64bit.vbs"</v>
      </c>
      <c r="X34" s="19">
        <v>0</v>
      </c>
    </row>
    <row r="35" spans="2:24" x14ac:dyDescent="0.3">
      <c r="B35" s="28"/>
      <c r="C35" s="28"/>
      <c r="D35" s="28"/>
      <c r="E35" s="28"/>
      <c r="F35" s="46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2"/>
      <c r="V35" s="22"/>
      <c r="X35" s="19">
        <v>0</v>
      </c>
    </row>
    <row r="36" spans="2:24" x14ac:dyDescent="0.3">
      <c r="B36" s="28"/>
      <c r="C36" s="28"/>
      <c r="D36" s="28"/>
      <c r="E36" s="28"/>
      <c r="F36" s="46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16"/>
      <c r="V36" s="3"/>
      <c r="X36" s="19">
        <v>0</v>
      </c>
    </row>
    <row r="37" spans="2:24" x14ac:dyDescent="0.3">
      <c r="B37" s="28"/>
      <c r="C37" s="28"/>
      <c r="D37" s="28"/>
      <c r="E37" s="28"/>
      <c r="F37" s="46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16"/>
      <c r="V37" s="3"/>
      <c r="X37" s="19">
        <v>0</v>
      </c>
    </row>
    <row r="38" spans="2:24" x14ac:dyDescent="0.3">
      <c r="B38" s="28"/>
      <c r="C38" s="28"/>
      <c r="D38" s="28"/>
      <c r="E38" s="28"/>
      <c r="F38" s="46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2"/>
      <c r="V38" s="22"/>
      <c r="X38" s="19">
        <v>0</v>
      </c>
    </row>
    <row r="39" spans="2:24" x14ac:dyDescent="0.3">
      <c r="B39" s="16"/>
      <c r="C39" s="3"/>
      <c r="D39" s="27">
        <v>9.4</v>
      </c>
      <c r="E39" s="23"/>
      <c r="F39" s="23"/>
      <c r="G39" s="23"/>
      <c r="H39" s="25">
        <v>100</v>
      </c>
      <c r="I39" s="27" t="s">
        <v>320</v>
      </c>
      <c r="J39" s="24" t="s">
        <v>350</v>
      </c>
      <c r="K39" s="24" t="s">
        <v>342</v>
      </c>
      <c r="L39" s="26" t="s">
        <v>326</v>
      </c>
      <c r="M39" s="24" t="s">
        <v>327</v>
      </c>
      <c r="N39" s="26">
        <v>5432</v>
      </c>
      <c r="O39" s="27" t="s">
        <v>329</v>
      </c>
      <c r="P39" s="26" t="s">
        <v>330</v>
      </c>
      <c r="Q39" s="27" t="s">
        <v>334</v>
      </c>
      <c r="R39" s="25" t="s">
        <v>336</v>
      </c>
      <c r="S39" s="27" t="s">
        <v>334</v>
      </c>
      <c r="T39" s="27" t="s">
        <v>338</v>
      </c>
      <c r="U39" s="23"/>
      <c r="V39" s="27"/>
      <c r="X39" s="19">
        <v>0</v>
      </c>
    </row>
    <row r="40" spans="2:24" x14ac:dyDescent="0.3">
      <c r="B40" s="16"/>
      <c r="C40" s="3"/>
      <c r="D40" s="26">
        <v>9.5</v>
      </c>
      <c r="E40" s="23"/>
      <c r="F40" s="23"/>
      <c r="G40" s="23"/>
      <c r="H40" s="24">
        <v>1500</v>
      </c>
      <c r="I40" s="26" t="s">
        <v>321</v>
      </c>
      <c r="J40" s="26" t="s">
        <v>323</v>
      </c>
      <c r="K40" s="26" t="s">
        <v>325</v>
      </c>
      <c r="L40" s="24" t="s">
        <v>351</v>
      </c>
      <c r="M40" s="26" t="s">
        <v>328</v>
      </c>
      <c r="N40" s="26">
        <v>3284</v>
      </c>
      <c r="O40" s="26" t="s">
        <v>324</v>
      </c>
      <c r="P40" s="24" t="s">
        <v>331</v>
      </c>
      <c r="Q40" s="26" t="s">
        <v>335</v>
      </c>
      <c r="R40" s="24" t="s">
        <v>337</v>
      </c>
      <c r="S40" s="26" t="s">
        <v>335</v>
      </c>
      <c r="T40" s="24" t="s">
        <v>339</v>
      </c>
      <c r="U40" s="23"/>
      <c r="V40" s="26"/>
      <c r="X40" s="19">
        <v>0</v>
      </c>
    </row>
    <row r="41" spans="2:24" x14ac:dyDescent="0.3">
      <c r="B41" s="16"/>
      <c r="C41" s="3"/>
      <c r="D41" s="24">
        <v>9.6</v>
      </c>
      <c r="E41" s="23"/>
      <c r="F41" s="23"/>
      <c r="G41" s="23"/>
      <c r="H41" s="24">
        <v>2500</v>
      </c>
      <c r="I41" s="24" t="s">
        <v>324</v>
      </c>
      <c r="J41" s="26" t="s">
        <v>324</v>
      </c>
      <c r="K41" s="26" t="s">
        <v>324</v>
      </c>
      <c r="L41" s="26" t="s">
        <v>324</v>
      </c>
      <c r="M41" s="26" t="s">
        <v>324</v>
      </c>
      <c r="N41" s="24" t="s">
        <v>324</v>
      </c>
      <c r="O41" s="23"/>
      <c r="P41" s="24" t="s">
        <v>332</v>
      </c>
      <c r="Q41" s="26" t="s">
        <v>307</v>
      </c>
      <c r="R41" s="26" t="s">
        <v>310</v>
      </c>
      <c r="S41" s="26" t="s">
        <v>333</v>
      </c>
      <c r="T41" s="26" t="s">
        <v>340</v>
      </c>
      <c r="U41" s="23"/>
      <c r="V41" s="26"/>
      <c r="X41" s="19">
        <v>0</v>
      </c>
    </row>
    <row r="42" spans="2:24" x14ac:dyDescent="0.3">
      <c r="B42" s="32"/>
      <c r="C42" s="32"/>
      <c r="D42" s="33"/>
      <c r="E42" s="34"/>
      <c r="F42" s="34"/>
      <c r="G42" s="34"/>
      <c r="H42" s="35"/>
      <c r="I42" s="34"/>
      <c r="J42" s="34"/>
      <c r="K42" s="34"/>
      <c r="L42" s="34"/>
      <c r="M42" s="34"/>
      <c r="N42" s="34"/>
      <c r="O42" s="34"/>
      <c r="P42" s="33"/>
      <c r="Q42" s="35"/>
      <c r="R42" s="35"/>
      <c r="S42" s="35"/>
      <c r="T42" s="35"/>
      <c r="U42" s="34"/>
      <c r="V42" s="35"/>
      <c r="X42" s="19">
        <v>0</v>
      </c>
    </row>
    <row r="43" spans="2:24" x14ac:dyDescent="0.3">
      <c r="B43" s="32"/>
      <c r="C43" s="32"/>
      <c r="D43" s="35"/>
      <c r="E43" s="34"/>
      <c r="F43" s="34"/>
      <c r="G43" s="34"/>
      <c r="H43" s="33"/>
      <c r="I43" s="34"/>
      <c r="J43" s="34"/>
      <c r="K43" s="34"/>
      <c r="L43" s="34"/>
      <c r="M43" s="34"/>
      <c r="N43" s="34"/>
      <c r="O43" s="34"/>
      <c r="P43" s="33"/>
      <c r="Q43" s="34"/>
      <c r="R43" s="33"/>
      <c r="S43" s="34"/>
      <c r="T43" s="33"/>
      <c r="U43" s="34"/>
      <c r="V43" s="34"/>
      <c r="X43" s="19">
        <v>0</v>
      </c>
    </row>
    <row r="44" spans="2:24" x14ac:dyDescent="0.3">
      <c r="B44" s="32"/>
      <c r="C44" s="32"/>
      <c r="D44" s="35"/>
      <c r="E44" s="34"/>
      <c r="F44" s="34"/>
      <c r="G44" s="34"/>
      <c r="H44" s="35"/>
      <c r="I44" s="34"/>
      <c r="J44" s="34"/>
      <c r="K44" s="34"/>
      <c r="L44" s="34"/>
      <c r="M44" s="34"/>
      <c r="N44" s="34"/>
      <c r="O44" s="34"/>
      <c r="P44" s="35"/>
      <c r="Q44" s="34"/>
      <c r="R44" s="33"/>
      <c r="S44" s="34"/>
      <c r="T44" s="34"/>
      <c r="U44" s="34"/>
      <c r="V44" s="34"/>
      <c r="X44" s="19">
        <v>0</v>
      </c>
    </row>
    <row r="45" spans="2:24" x14ac:dyDescent="0.3">
      <c r="B45" s="32"/>
      <c r="C45" s="32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X45" s="19">
        <v>0</v>
      </c>
    </row>
    <row r="46" spans="2:24" x14ac:dyDescent="0.3">
      <c r="B46" s="32"/>
      <c r="C46" s="32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X46" s="19">
        <v>0</v>
      </c>
    </row>
    <row r="47" spans="2:24" x14ac:dyDescent="0.3">
      <c r="B47" s="32"/>
      <c r="C47" s="32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X47" s="19">
        <v>0</v>
      </c>
    </row>
    <row r="48" spans="2:24" x14ac:dyDescent="0.3">
      <c r="B48" s="32"/>
      <c r="C48" s="32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X48" s="19">
        <v>0</v>
      </c>
    </row>
    <row r="49" spans="2:24" x14ac:dyDescent="0.3">
      <c r="B49" s="32"/>
      <c r="C49" s="32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X49" s="19">
        <v>0</v>
      </c>
    </row>
    <row r="50" spans="2:24" x14ac:dyDescent="0.3">
      <c r="B50" s="32"/>
      <c r="C50" s="32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X50" s="19">
        <v>0</v>
      </c>
    </row>
    <row r="51" spans="2:24" x14ac:dyDescent="0.3">
      <c r="B51" s="32"/>
      <c r="C51" s="32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X51" s="19">
        <v>0</v>
      </c>
    </row>
    <row r="52" spans="2:24" x14ac:dyDescent="0.3">
      <c r="B52" s="32"/>
      <c r="C52" s="32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X52" s="19">
        <v>0</v>
      </c>
    </row>
    <row r="53" spans="2:24" x14ac:dyDescent="0.3">
      <c r="B53" s="32"/>
      <c r="C53" s="32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X53" s="19">
        <v>0</v>
      </c>
    </row>
    <row r="54" spans="2:24" x14ac:dyDescent="0.3">
      <c r="B54" s="32"/>
      <c r="C54" s="32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X54" s="19">
        <v>0</v>
      </c>
    </row>
    <row r="55" spans="2:24" x14ac:dyDescent="0.3">
      <c r="B55" s="32"/>
      <c r="C55" s="32"/>
      <c r="D55" s="34"/>
      <c r="E55" s="34"/>
      <c r="F55" s="34"/>
      <c r="G55" s="34"/>
      <c r="H55" s="36"/>
      <c r="I55" s="34"/>
      <c r="J55" s="34"/>
      <c r="K55" s="34"/>
      <c r="L55" s="34"/>
      <c r="M55" s="34"/>
      <c r="N55" s="36"/>
      <c r="O55" s="34"/>
      <c r="P55" s="34"/>
      <c r="Q55" s="34"/>
      <c r="R55" s="34"/>
      <c r="S55" s="34"/>
      <c r="T55" s="34"/>
      <c r="U55" s="34"/>
      <c r="V55" s="34"/>
      <c r="X55" s="19">
        <v>0</v>
      </c>
    </row>
    <row r="56" spans="2:24" x14ac:dyDescent="0.3">
      <c r="B56" s="32"/>
      <c r="C56" s="32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X56" s="19">
        <v>0</v>
      </c>
    </row>
    <row r="57" spans="2:24" x14ac:dyDescent="0.3">
      <c r="B57" s="32"/>
      <c r="C57" s="32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X57" s="19">
        <v>0</v>
      </c>
    </row>
    <row r="58" spans="2:24" x14ac:dyDescent="0.3">
      <c r="B58" s="32"/>
      <c r="C58" s="32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X58" s="19">
        <v>0</v>
      </c>
    </row>
    <row r="59" spans="2:24" x14ac:dyDescent="0.3">
      <c r="B59" s="32"/>
      <c r="C59" s="32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X59" s="19">
        <v>0</v>
      </c>
    </row>
    <row r="60" spans="2:24" x14ac:dyDescent="0.3"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X60" s="19">
        <v>0</v>
      </c>
    </row>
    <row r="61" spans="2:24" x14ac:dyDescent="0.3"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X61" s="19">
        <v>0</v>
      </c>
    </row>
    <row r="62" spans="2:24" x14ac:dyDescent="0.3"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X62" s="19">
        <v>0</v>
      </c>
    </row>
    <row r="63" spans="2:24" x14ac:dyDescent="0.3"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8"/>
      <c r="N63" s="32"/>
      <c r="O63" s="32"/>
      <c r="P63" s="32"/>
      <c r="Q63" s="32"/>
      <c r="R63" s="32"/>
      <c r="S63" s="32"/>
      <c r="T63" s="32"/>
      <c r="U63" s="32"/>
      <c r="V63" s="32"/>
      <c r="X63" s="19">
        <v>0</v>
      </c>
    </row>
    <row r="64" spans="2:24" x14ac:dyDescent="0.3"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8"/>
      <c r="N64" s="32"/>
      <c r="O64" s="32"/>
      <c r="P64" s="32"/>
      <c r="Q64" s="32"/>
      <c r="R64" s="32"/>
      <c r="S64" s="32"/>
      <c r="T64" s="32"/>
      <c r="U64" s="32"/>
      <c r="V64" s="32"/>
      <c r="X64" s="19">
        <v>0</v>
      </c>
    </row>
    <row r="65" spans="2:24" x14ac:dyDescent="0.3"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X65" s="19">
        <v>0</v>
      </c>
    </row>
    <row r="66" spans="2:24" x14ac:dyDescent="0.3"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X66" s="19">
        <v>0</v>
      </c>
    </row>
    <row r="67" spans="2:24" x14ac:dyDescent="0.3"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X67" s="19">
        <v>0</v>
      </c>
    </row>
    <row r="68" spans="2:24" x14ac:dyDescent="0.3"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8"/>
      <c r="N68" s="32"/>
      <c r="O68" s="32"/>
      <c r="P68" s="32"/>
      <c r="Q68" s="32"/>
      <c r="R68" s="32"/>
      <c r="S68" s="32"/>
      <c r="T68" s="32"/>
      <c r="U68" s="32"/>
      <c r="V68" s="32"/>
      <c r="X68" s="19">
        <v>0</v>
      </c>
    </row>
    <row r="69" spans="2:24" x14ac:dyDescent="0.3"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8"/>
      <c r="N69" s="32"/>
      <c r="O69" s="32"/>
      <c r="P69" s="32"/>
      <c r="Q69" s="32"/>
      <c r="R69" s="32"/>
      <c r="S69" s="32"/>
      <c r="T69" s="32"/>
      <c r="U69" s="32"/>
      <c r="V69" s="32"/>
      <c r="X69" s="19">
        <v>0</v>
      </c>
    </row>
    <row r="70" spans="2:24" x14ac:dyDescent="0.3"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X70" s="19">
        <v>0</v>
      </c>
    </row>
    <row r="71" spans="2:24" x14ac:dyDescent="0.3"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X71" s="19">
        <v>0</v>
      </c>
    </row>
    <row r="72" spans="2:24" x14ac:dyDescent="0.3"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X72" s="19">
        <v>0</v>
      </c>
    </row>
    <row r="73" spans="2:24" x14ac:dyDescent="0.3"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X73" s="19">
        <v>0</v>
      </c>
    </row>
    <row r="74" spans="2:24" x14ac:dyDescent="0.3"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X74" s="19">
        <v>0</v>
      </c>
    </row>
    <row r="75" spans="2:24" x14ac:dyDescent="0.3"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X75" s="19">
        <v>0</v>
      </c>
    </row>
    <row r="76" spans="2:24" x14ac:dyDescent="0.3"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X76" s="19">
        <v>0</v>
      </c>
    </row>
    <row r="77" spans="2:24" x14ac:dyDescent="0.3"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X77" s="19">
        <v>0</v>
      </c>
    </row>
    <row r="78" spans="2:24" x14ac:dyDescent="0.3"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X78" s="19">
        <v>0</v>
      </c>
    </row>
    <row r="79" spans="2:24" x14ac:dyDescent="0.3"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X79" s="19">
        <v>0</v>
      </c>
    </row>
    <row r="80" spans="2:24" x14ac:dyDescent="0.3"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X80" s="19">
        <v>0</v>
      </c>
    </row>
    <row r="81" spans="2:24" x14ac:dyDescent="0.3"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X81" s="19">
        <v>0</v>
      </c>
    </row>
    <row r="82" spans="2:24" x14ac:dyDescent="0.3"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X82" s="19">
        <v>0</v>
      </c>
    </row>
    <row r="83" spans="2:24" x14ac:dyDescent="0.3"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X83" s="19">
        <v>0</v>
      </c>
    </row>
    <row r="84" spans="2:24" x14ac:dyDescent="0.3"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X84" s="19">
        <v>0</v>
      </c>
    </row>
    <row r="85" spans="2:24" x14ac:dyDescent="0.3"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X85" s="19">
        <v>0</v>
      </c>
    </row>
    <row r="86" spans="2:24" x14ac:dyDescent="0.3"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X86" s="19">
        <v>0</v>
      </c>
    </row>
    <row r="87" spans="2:24" x14ac:dyDescent="0.3"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X87" s="19">
        <v>0</v>
      </c>
    </row>
    <row r="88" spans="2:24" x14ac:dyDescent="0.3"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X88" s="19">
        <v>0</v>
      </c>
    </row>
    <row r="89" spans="2:24" x14ac:dyDescent="0.3"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X89" s="19">
        <v>0</v>
      </c>
    </row>
    <row r="90" spans="2:24" x14ac:dyDescent="0.3"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X90" s="19">
        <v>0</v>
      </c>
    </row>
    <row r="91" spans="2:24" x14ac:dyDescent="0.3"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X91" s="19">
        <v>0</v>
      </c>
    </row>
    <row r="92" spans="2:24" x14ac:dyDescent="0.3"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X92" s="19">
        <v>0</v>
      </c>
    </row>
    <row r="93" spans="2:24" x14ac:dyDescent="0.3"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X93" s="19">
        <v>0</v>
      </c>
    </row>
    <row r="94" spans="2:24" x14ac:dyDescent="0.3"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X94" s="19">
        <v>0</v>
      </c>
    </row>
    <row r="95" spans="2:24" x14ac:dyDescent="0.3"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X95" s="19">
        <v>0</v>
      </c>
    </row>
    <row r="96" spans="2:24" x14ac:dyDescent="0.3"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X96" s="19">
        <v>0</v>
      </c>
    </row>
    <row r="97" spans="2:24" x14ac:dyDescent="0.3"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X97" s="19">
        <v>0</v>
      </c>
    </row>
    <row r="98" spans="2:24" x14ac:dyDescent="0.3"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X98" s="19">
        <v>0</v>
      </c>
    </row>
    <row r="99" spans="2:24" x14ac:dyDescent="0.3"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X99" s="19">
        <v>0</v>
      </c>
    </row>
    <row r="100" spans="2:24" x14ac:dyDescent="0.3"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X100" s="19">
        <v>0</v>
      </c>
    </row>
    <row r="101" spans="2:24" x14ac:dyDescent="0.3"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X101" s="19">
        <v>0</v>
      </c>
    </row>
    <row r="102" spans="2:24" x14ac:dyDescent="0.3"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X102" s="19">
        <v>0</v>
      </c>
    </row>
    <row r="103" spans="2:24" x14ac:dyDescent="0.3"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X103" s="19">
        <v>0</v>
      </c>
    </row>
    <row r="104" spans="2:24" x14ac:dyDescent="0.3"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X104" s="19">
        <v>0</v>
      </c>
    </row>
    <row r="105" spans="2:24" x14ac:dyDescent="0.3"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X105" s="19">
        <v>0</v>
      </c>
    </row>
    <row r="106" spans="2:24" x14ac:dyDescent="0.3"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X106" s="19">
        <v>0</v>
      </c>
    </row>
    <row r="107" spans="2:24" x14ac:dyDescent="0.3"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X107" s="19">
        <v>0</v>
      </c>
    </row>
    <row r="108" spans="2:24" x14ac:dyDescent="0.3"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X108" s="19">
        <v>0</v>
      </c>
    </row>
    <row r="109" spans="2:24" x14ac:dyDescent="0.3"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X109" s="19">
        <v>0</v>
      </c>
    </row>
    <row r="110" spans="2:24" x14ac:dyDescent="0.3"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X110" s="19">
        <v>0</v>
      </c>
    </row>
    <row r="111" spans="2:24" x14ac:dyDescent="0.3"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X111" s="19">
        <v>0</v>
      </c>
    </row>
    <row r="112" spans="2:24" x14ac:dyDescent="0.3"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X112" s="19">
        <v>0</v>
      </c>
    </row>
    <row r="113" spans="2:24" x14ac:dyDescent="0.3"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X113" s="19">
        <v>0</v>
      </c>
    </row>
    <row r="114" spans="2:24" x14ac:dyDescent="0.3"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X114" s="19">
        <v>0</v>
      </c>
    </row>
    <row r="115" spans="2:24" x14ac:dyDescent="0.3"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X115" s="19">
        <v>0</v>
      </c>
    </row>
    <row r="116" spans="2:24" x14ac:dyDescent="0.3"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X116" s="19">
        <v>0</v>
      </c>
    </row>
    <row r="117" spans="2:24" x14ac:dyDescent="0.3"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X117" s="19">
        <v>0</v>
      </c>
    </row>
    <row r="118" spans="2:24" x14ac:dyDescent="0.3"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X118" s="19">
        <v>0</v>
      </c>
    </row>
    <row r="119" spans="2:24" x14ac:dyDescent="0.3"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X119" s="19">
        <v>0</v>
      </c>
    </row>
    <row r="120" spans="2:24" x14ac:dyDescent="0.3"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X120" s="19">
        <v>0</v>
      </c>
    </row>
    <row r="121" spans="2:24" x14ac:dyDescent="0.3"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X121" s="19">
        <v>0</v>
      </c>
    </row>
    <row r="122" spans="2:24" x14ac:dyDescent="0.3"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X122" s="19">
        <v>0</v>
      </c>
    </row>
    <row r="123" spans="2:24" x14ac:dyDescent="0.3"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X123" s="19">
        <v>0</v>
      </c>
    </row>
    <row r="124" spans="2:24" x14ac:dyDescent="0.3"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X124" s="19">
        <v>0</v>
      </c>
    </row>
    <row r="125" spans="2:24" x14ac:dyDescent="0.3"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X125" s="19">
        <v>0</v>
      </c>
    </row>
    <row r="126" spans="2:24" x14ac:dyDescent="0.3">
      <c r="B126" s="16"/>
      <c r="C126" s="3"/>
      <c r="D126" s="3"/>
      <c r="E126" s="3"/>
      <c r="F126" s="46"/>
      <c r="G126" s="3"/>
      <c r="H126" s="3"/>
      <c r="I126" s="3"/>
      <c r="J126" s="3"/>
      <c r="K126" s="3"/>
      <c r="L126" s="3"/>
      <c r="M126" s="3"/>
      <c r="N126" s="3"/>
      <c r="O126" s="4"/>
      <c r="P126" s="3"/>
      <c r="Q126" s="3"/>
      <c r="R126" s="3"/>
      <c r="S126" s="3"/>
      <c r="T126" s="3"/>
      <c r="U126" s="16"/>
      <c r="V126" s="3"/>
      <c r="X126" s="19">
        <v>0</v>
      </c>
    </row>
    <row r="127" spans="2:24" x14ac:dyDescent="0.3">
      <c r="B127" s="16"/>
      <c r="C127" s="3"/>
      <c r="D127" s="3"/>
      <c r="E127" s="3"/>
      <c r="F127" s="46"/>
      <c r="G127" s="3"/>
      <c r="H127" s="3"/>
      <c r="I127" s="3"/>
      <c r="J127" s="3"/>
      <c r="K127" s="3"/>
      <c r="L127" s="3"/>
      <c r="M127" s="3"/>
      <c r="N127" s="3"/>
      <c r="O127" s="4"/>
      <c r="P127" s="3"/>
      <c r="Q127" s="3"/>
      <c r="R127" s="3"/>
      <c r="S127" s="3"/>
      <c r="T127" s="3"/>
      <c r="U127" s="16"/>
      <c r="V127" s="3"/>
      <c r="X127" s="19">
        <v>0</v>
      </c>
    </row>
    <row r="128" spans="2:24" x14ac:dyDescent="0.3">
      <c r="B128" s="16"/>
      <c r="C128" s="3"/>
      <c r="D128" s="3"/>
      <c r="E128" s="3"/>
      <c r="F128" s="46"/>
      <c r="G128" s="3"/>
      <c r="H128" s="3"/>
      <c r="I128" s="3"/>
      <c r="J128" s="3"/>
      <c r="K128" s="3"/>
      <c r="L128" s="3"/>
      <c r="M128" s="3"/>
      <c r="N128" s="3"/>
      <c r="O128" s="4"/>
      <c r="P128" s="3"/>
      <c r="Q128" s="3"/>
      <c r="R128" s="3"/>
      <c r="S128" s="3"/>
      <c r="T128" s="3"/>
      <c r="U128" s="16"/>
      <c r="V128" s="3"/>
      <c r="X128" s="19">
        <v>0</v>
      </c>
    </row>
    <row r="129" spans="2:24" x14ac:dyDescent="0.3">
      <c r="B129" s="16"/>
      <c r="C129" s="3"/>
      <c r="D129" s="3"/>
      <c r="E129" s="3"/>
      <c r="F129" s="46"/>
      <c r="G129" s="3"/>
      <c r="H129" s="3"/>
      <c r="I129" s="3"/>
      <c r="J129" s="3"/>
      <c r="K129" s="3"/>
      <c r="L129" s="3"/>
      <c r="M129" s="3"/>
      <c r="N129" s="3"/>
      <c r="O129" s="4"/>
      <c r="P129" s="3"/>
      <c r="Q129" s="3"/>
      <c r="R129" s="3"/>
      <c r="S129" s="3"/>
      <c r="T129" s="3"/>
      <c r="U129" s="16"/>
      <c r="V129" s="3"/>
      <c r="X129" s="19">
        <v>0</v>
      </c>
    </row>
    <row r="130" spans="2:24" x14ac:dyDescent="0.3">
      <c r="B130" s="16"/>
      <c r="C130" s="3"/>
      <c r="D130" s="3"/>
      <c r="E130" s="3"/>
      <c r="F130" s="46"/>
      <c r="G130" s="3"/>
      <c r="H130" s="3"/>
      <c r="I130" s="3"/>
      <c r="J130" s="3"/>
      <c r="K130" s="3"/>
      <c r="L130" s="3"/>
      <c r="M130" s="3"/>
      <c r="N130" s="3"/>
      <c r="O130" s="4"/>
      <c r="P130" s="3"/>
      <c r="Q130" s="3"/>
      <c r="R130" s="3"/>
      <c r="S130" s="3"/>
      <c r="T130" s="3"/>
      <c r="U130" s="16"/>
      <c r="V130" s="3"/>
      <c r="X130" s="19">
        <v>0</v>
      </c>
    </row>
    <row r="131" spans="2:24" x14ac:dyDescent="0.3">
      <c r="B131" s="16"/>
      <c r="C131" s="3"/>
      <c r="D131" s="3"/>
      <c r="E131" s="3"/>
      <c r="F131" s="46"/>
      <c r="G131" s="3"/>
      <c r="H131" s="3"/>
      <c r="I131" s="3"/>
      <c r="J131" s="3"/>
      <c r="K131" s="3"/>
      <c r="L131" s="3"/>
      <c r="M131" s="3"/>
      <c r="N131" s="3"/>
      <c r="O131" s="4"/>
      <c r="P131" s="3"/>
      <c r="Q131" s="3"/>
      <c r="R131" s="3"/>
      <c r="S131" s="3"/>
      <c r="T131" s="3"/>
      <c r="U131" s="16"/>
      <c r="V131" s="3"/>
      <c r="X131" s="19">
        <v>0</v>
      </c>
    </row>
    <row r="132" spans="2:24" x14ac:dyDescent="0.3">
      <c r="B132" s="16"/>
      <c r="C132" s="3"/>
      <c r="D132" s="3"/>
      <c r="E132" s="3"/>
      <c r="F132" s="46"/>
      <c r="G132" s="3"/>
      <c r="H132" s="3"/>
      <c r="I132" s="3"/>
      <c r="J132" s="3"/>
      <c r="K132" s="3"/>
      <c r="L132" s="3"/>
      <c r="M132" s="3"/>
      <c r="N132" s="3"/>
      <c r="O132" s="4"/>
      <c r="P132" s="3"/>
      <c r="Q132" s="3"/>
      <c r="R132" s="3"/>
      <c r="S132" s="3"/>
      <c r="T132" s="3"/>
      <c r="U132" s="16"/>
      <c r="V132" s="3"/>
      <c r="X132" s="19">
        <v>0</v>
      </c>
    </row>
    <row r="133" spans="2:24" x14ac:dyDescent="0.3">
      <c r="B133" s="16"/>
      <c r="C133" s="3"/>
      <c r="D133" s="3"/>
      <c r="E133" s="3"/>
      <c r="F133" s="46"/>
      <c r="G133" s="3"/>
      <c r="H133" s="3"/>
      <c r="I133" s="3"/>
      <c r="J133" s="3"/>
      <c r="K133" s="3"/>
      <c r="L133" s="3"/>
      <c r="M133" s="3"/>
      <c r="N133" s="3"/>
      <c r="O133" s="4"/>
      <c r="P133" s="3"/>
      <c r="Q133" s="3"/>
      <c r="R133" s="3"/>
      <c r="S133" s="3"/>
      <c r="T133" s="3"/>
      <c r="U133" s="16"/>
      <c r="V133" s="3"/>
      <c r="X133" s="19">
        <v>0</v>
      </c>
    </row>
    <row r="134" spans="2:24" x14ac:dyDescent="0.3">
      <c r="B134" s="16"/>
      <c r="C134" s="3"/>
      <c r="D134" s="3"/>
      <c r="E134" s="3"/>
      <c r="F134" s="46"/>
      <c r="G134" s="3"/>
      <c r="H134" s="3"/>
      <c r="I134" s="3"/>
      <c r="J134" s="3"/>
      <c r="K134" s="3"/>
      <c r="L134" s="3"/>
      <c r="M134" s="3"/>
      <c r="N134" s="3"/>
      <c r="O134" s="4"/>
      <c r="P134" s="3"/>
      <c r="Q134" s="3"/>
      <c r="R134" s="3"/>
      <c r="S134" s="3"/>
      <c r="T134" s="3"/>
      <c r="U134" s="16"/>
      <c r="V134" s="3"/>
      <c r="X134" s="19">
        <v>0</v>
      </c>
    </row>
    <row r="135" spans="2:24" x14ac:dyDescent="0.3">
      <c r="B135" s="16"/>
      <c r="C135" s="3"/>
      <c r="D135" s="3"/>
      <c r="E135" s="3"/>
      <c r="F135" s="46"/>
      <c r="G135" s="3"/>
      <c r="H135" s="3"/>
      <c r="I135" s="3"/>
      <c r="J135" s="3"/>
      <c r="K135" s="3"/>
      <c r="L135" s="3"/>
      <c r="M135" s="3"/>
      <c r="N135" s="3"/>
      <c r="O135" s="4"/>
      <c r="P135" s="3"/>
      <c r="Q135" s="3"/>
      <c r="R135" s="3"/>
      <c r="S135" s="3"/>
      <c r="T135" s="3"/>
      <c r="U135" s="16"/>
      <c r="V135" s="3"/>
      <c r="X135" s="19">
        <v>0</v>
      </c>
    </row>
    <row r="136" spans="2:24" x14ac:dyDescent="0.3">
      <c r="B136" s="16"/>
      <c r="C136" s="3"/>
      <c r="D136" s="3"/>
      <c r="E136" s="3"/>
      <c r="F136" s="46"/>
      <c r="G136" s="3"/>
      <c r="H136" s="3"/>
      <c r="I136" s="3"/>
      <c r="J136" s="3"/>
      <c r="K136" s="3"/>
      <c r="L136" s="3"/>
      <c r="M136" s="3"/>
      <c r="N136" s="3"/>
      <c r="O136" s="4"/>
      <c r="P136" s="3"/>
      <c r="Q136" s="3"/>
      <c r="R136" s="3"/>
      <c r="S136" s="3"/>
      <c r="T136" s="3"/>
      <c r="U136" s="16"/>
      <c r="V136" s="3"/>
      <c r="X136" s="19">
        <v>0</v>
      </c>
    </row>
    <row r="137" spans="2:24" x14ac:dyDescent="0.3">
      <c r="B137" s="16"/>
      <c r="C137" s="3"/>
      <c r="D137" s="3"/>
      <c r="E137" s="3"/>
      <c r="F137" s="46"/>
      <c r="G137" s="3"/>
      <c r="H137" s="3"/>
      <c r="I137" s="3"/>
      <c r="J137" s="3"/>
      <c r="K137" s="3"/>
      <c r="L137" s="3"/>
      <c r="M137" s="3"/>
      <c r="N137" s="3"/>
      <c r="O137" s="4"/>
      <c r="P137" s="3"/>
      <c r="Q137" s="3"/>
      <c r="R137" s="3"/>
      <c r="S137" s="3"/>
      <c r="T137" s="3"/>
      <c r="U137" s="16"/>
      <c r="V137" s="3"/>
      <c r="X137" s="19">
        <v>0</v>
      </c>
    </row>
    <row r="138" spans="2:24" x14ac:dyDescent="0.3">
      <c r="B138" s="16"/>
      <c r="C138" s="3"/>
      <c r="D138" s="3"/>
      <c r="E138" s="3"/>
      <c r="F138" s="46"/>
      <c r="G138" s="3"/>
      <c r="H138" s="3"/>
      <c r="I138" s="3"/>
      <c r="J138" s="3"/>
      <c r="K138" s="3"/>
      <c r="L138" s="3"/>
      <c r="M138" s="3"/>
      <c r="N138" s="3"/>
      <c r="O138" s="4"/>
      <c r="P138" s="3"/>
      <c r="Q138" s="3"/>
      <c r="R138" s="3"/>
      <c r="S138" s="3"/>
      <c r="T138" s="3"/>
      <c r="U138" s="16"/>
      <c r="V138" s="3"/>
      <c r="X138" s="19">
        <v>0</v>
      </c>
    </row>
    <row r="139" spans="2:24" x14ac:dyDescent="0.3">
      <c r="B139" s="16"/>
      <c r="C139" s="3"/>
      <c r="D139" s="3"/>
      <c r="E139" s="3"/>
      <c r="F139" s="46"/>
      <c r="G139" s="3"/>
      <c r="H139" s="3"/>
      <c r="I139" s="3"/>
      <c r="J139" s="3"/>
      <c r="K139" s="3"/>
      <c r="L139" s="3"/>
      <c r="M139" s="3"/>
      <c r="N139" s="3"/>
      <c r="O139" s="4"/>
      <c r="P139" s="3"/>
      <c r="Q139" s="3"/>
      <c r="R139" s="3"/>
      <c r="S139" s="3"/>
      <c r="T139" s="3"/>
      <c r="U139" s="16"/>
      <c r="V139" s="3"/>
      <c r="X139" s="19">
        <v>0</v>
      </c>
    </row>
    <row r="140" spans="2:24" x14ac:dyDescent="0.3">
      <c r="B140" s="16"/>
      <c r="C140" s="3"/>
      <c r="D140" s="3"/>
      <c r="E140" s="3"/>
      <c r="F140" s="46"/>
      <c r="G140" s="3"/>
      <c r="H140" s="3"/>
      <c r="I140" s="3"/>
      <c r="J140" s="3"/>
      <c r="K140" s="3"/>
      <c r="L140" s="3"/>
      <c r="M140" s="3"/>
      <c r="N140" s="3"/>
      <c r="O140" s="4"/>
      <c r="P140" s="3"/>
      <c r="Q140" s="3"/>
      <c r="R140" s="3"/>
      <c r="S140" s="3"/>
      <c r="T140" s="3"/>
      <c r="U140" s="16"/>
      <c r="V140" s="3"/>
      <c r="X140" s="19">
        <v>0</v>
      </c>
    </row>
    <row r="141" spans="2:24" x14ac:dyDescent="0.3">
      <c r="B141" s="16"/>
      <c r="C141" s="3"/>
      <c r="D141" s="3"/>
      <c r="E141" s="3"/>
      <c r="F141" s="46"/>
      <c r="G141" s="3"/>
      <c r="H141" s="3"/>
      <c r="I141" s="3"/>
      <c r="J141" s="3"/>
      <c r="K141" s="3"/>
      <c r="L141" s="3"/>
      <c r="M141" s="3"/>
      <c r="N141" s="3"/>
      <c r="O141" s="4"/>
      <c r="P141" s="3"/>
      <c r="Q141" s="3"/>
      <c r="R141" s="3"/>
      <c r="S141" s="3"/>
      <c r="T141" s="3"/>
      <c r="U141" s="16"/>
      <c r="V141" s="3"/>
      <c r="X141" s="19">
        <v>0</v>
      </c>
    </row>
    <row r="142" spans="2:24" x14ac:dyDescent="0.3">
      <c r="B142" s="16"/>
      <c r="C142" s="3"/>
      <c r="D142" s="3"/>
      <c r="E142" s="3"/>
      <c r="F142" s="46"/>
      <c r="G142" s="3"/>
      <c r="H142" s="3"/>
      <c r="I142" s="3"/>
      <c r="J142" s="3"/>
      <c r="K142" s="3"/>
      <c r="L142" s="3"/>
      <c r="M142" s="3"/>
      <c r="N142" s="3"/>
      <c r="O142" s="4"/>
      <c r="P142" s="3"/>
      <c r="Q142" s="3"/>
      <c r="R142" s="3"/>
      <c r="S142" s="3"/>
      <c r="T142" s="3"/>
      <c r="U142" s="16"/>
      <c r="V142" s="3"/>
      <c r="X142" s="19">
        <v>0</v>
      </c>
    </row>
    <row r="143" spans="2:24" x14ac:dyDescent="0.3">
      <c r="B143" s="16"/>
      <c r="C143" s="3"/>
      <c r="D143" s="3"/>
      <c r="E143" s="3"/>
      <c r="F143" s="46"/>
      <c r="G143" s="3"/>
      <c r="H143" s="3"/>
      <c r="I143" s="3"/>
      <c r="J143" s="3"/>
      <c r="K143" s="3"/>
      <c r="L143" s="3"/>
      <c r="M143" s="3"/>
      <c r="N143" s="3"/>
      <c r="O143" s="4"/>
      <c r="P143" s="3"/>
      <c r="Q143" s="3"/>
      <c r="R143" s="3"/>
      <c r="S143" s="3"/>
      <c r="T143" s="3"/>
      <c r="U143" s="16"/>
      <c r="V143" s="3"/>
      <c r="X143" s="19">
        <v>0</v>
      </c>
    </row>
    <row r="144" spans="2:24" x14ac:dyDescent="0.3">
      <c r="B144" s="16"/>
      <c r="C144" s="3"/>
      <c r="D144" s="3"/>
      <c r="E144" s="3"/>
      <c r="F144" s="46"/>
      <c r="G144" s="3"/>
      <c r="H144" s="3"/>
      <c r="I144" s="3"/>
      <c r="J144" s="3"/>
      <c r="K144" s="3"/>
      <c r="L144" s="3"/>
      <c r="M144" s="3"/>
      <c r="N144" s="3"/>
      <c r="O144" s="4"/>
      <c r="P144" s="3"/>
      <c r="Q144" s="3"/>
      <c r="R144" s="3"/>
      <c r="S144" s="3"/>
      <c r="T144" s="3"/>
      <c r="U144" s="16"/>
      <c r="V144" s="3"/>
      <c r="X144" s="19">
        <v>0</v>
      </c>
    </row>
    <row r="145" spans="2:24" x14ac:dyDescent="0.3">
      <c r="B145" s="16"/>
      <c r="C145" s="3"/>
      <c r="D145" s="3"/>
      <c r="E145" s="3"/>
      <c r="F145" s="46"/>
      <c r="G145" s="3"/>
      <c r="H145" s="3"/>
      <c r="I145" s="3"/>
      <c r="J145" s="3"/>
      <c r="K145" s="3"/>
      <c r="L145" s="3"/>
      <c r="M145" s="3"/>
      <c r="N145" s="3"/>
      <c r="O145" s="4"/>
      <c r="P145" s="3"/>
      <c r="Q145" s="3"/>
      <c r="R145" s="3"/>
      <c r="S145" s="3"/>
      <c r="T145" s="3"/>
      <c r="U145" s="16"/>
      <c r="V145" s="3"/>
      <c r="X145" s="19">
        <v>0</v>
      </c>
    </row>
    <row r="146" spans="2:24" x14ac:dyDescent="0.3">
      <c r="B146" s="16"/>
      <c r="C146" s="3"/>
      <c r="D146" s="3"/>
      <c r="E146" s="3"/>
      <c r="F146" s="46"/>
      <c r="G146" s="3"/>
      <c r="H146" s="3"/>
      <c r="I146" s="3"/>
      <c r="J146" s="3"/>
      <c r="K146" s="3"/>
      <c r="L146" s="3"/>
      <c r="M146" s="3"/>
      <c r="N146" s="3"/>
      <c r="O146" s="4"/>
      <c r="P146" s="3"/>
      <c r="Q146" s="3"/>
      <c r="R146" s="3"/>
      <c r="S146" s="3"/>
      <c r="T146" s="3"/>
      <c r="U146" s="16"/>
      <c r="V146" s="3"/>
      <c r="X146" s="19">
        <v>0</v>
      </c>
    </row>
    <row r="147" spans="2:24" x14ac:dyDescent="0.3">
      <c r="B147" s="16"/>
      <c r="C147" s="3"/>
      <c r="D147" s="3"/>
      <c r="E147" s="3"/>
      <c r="F147" s="46"/>
      <c r="G147" s="3"/>
      <c r="H147" s="3"/>
      <c r="I147" s="3"/>
      <c r="J147" s="3"/>
      <c r="K147" s="3"/>
      <c r="L147" s="3"/>
      <c r="M147" s="3"/>
      <c r="N147" s="3"/>
      <c r="O147" s="4"/>
      <c r="P147" s="3"/>
      <c r="Q147" s="3"/>
      <c r="R147" s="3"/>
      <c r="S147" s="3"/>
      <c r="T147" s="3"/>
      <c r="U147" s="16"/>
      <c r="V147" s="3"/>
      <c r="X147" s="19">
        <v>0</v>
      </c>
    </row>
    <row r="148" spans="2:24" x14ac:dyDescent="0.3">
      <c r="B148" s="16"/>
      <c r="C148" s="3"/>
      <c r="D148" s="3"/>
      <c r="E148" s="3"/>
      <c r="F148" s="46"/>
      <c r="G148" s="3"/>
      <c r="H148" s="3"/>
      <c r="I148" s="3"/>
      <c r="J148" s="3"/>
      <c r="K148" s="3"/>
      <c r="L148" s="3"/>
      <c r="M148" s="3"/>
      <c r="N148" s="3"/>
      <c r="O148" s="4"/>
      <c r="P148" s="3"/>
      <c r="Q148" s="3"/>
      <c r="R148" s="3"/>
      <c r="S148" s="3"/>
      <c r="T148" s="3"/>
      <c r="U148" s="16"/>
      <c r="V148" s="3"/>
      <c r="X148" s="19">
        <v>0</v>
      </c>
    </row>
    <row r="149" spans="2:24" x14ac:dyDescent="0.3">
      <c r="B149" s="16"/>
      <c r="C149" s="3"/>
      <c r="D149" s="3"/>
      <c r="E149" s="3"/>
      <c r="F149" s="46"/>
      <c r="G149" s="3"/>
      <c r="H149" s="3"/>
      <c r="I149" s="3"/>
      <c r="J149" s="3"/>
      <c r="K149" s="3"/>
      <c r="L149" s="3"/>
      <c r="M149" s="3"/>
      <c r="N149" s="3"/>
      <c r="O149" s="4"/>
      <c r="P149" s="3"/>
      <c r="Q149" s="3"/>
      <c r="R149" s="3"/>
      <c r="S149" s="3"/>
      <c r="T149" s="3"/>
      <c r="U149" s="16"/>
      <c r="V149" s="3"/>
      <c r="X149" s="19">
        <v>0</v>
      </c>
    </row>
    <row r="150" spans="2:24" x14ac:dyDescent="0.3">
      <c r="B150" s="16"/>
      <c r="C150" s="3"/>
      <c r="D150" s="3"/>
      <c r="E150" s="3"/>
      <c r="F150" s="46"/>
      <c r="G150" s="3"/>
      <c r="H150" s="3"/>
      <c r="I150" s="3"/>
      <c r="J150" s="3"/>
      <c r="K150" s="3"/>
      <c r="L150" s="3"/>
      <c r="M150" s="3"/>
      <c r="N150" s="3"/>
      <c r="O150" s="4"/>
      <c r="P150" s="3"/>
      <c r="Q150" s="3"/>
      <c r="R150" s="3"/>
      <c r="S150" s="3"/>
      <c r="T150" s="3"/>
      <c r="U150" s="16"/>
      <c r="V150" s="3"/>
      <c r="X150" s="19">
        <v>0</v>
      </c>
    </row>
    <row r="151" spans="2:24" x14ac:dyDescent="0.3">
      <c r="B151" s="16"/>
      <c r="C151" s="3"/>
      <c r="D151" s="3"/>
      <c r="E151" s="3"/>
      <c r="F151" s="46"/>
      <c r="G151" s="3"/>
      <c r="H151" s="3"/>
      <c r="I151" s="3"/>
      <c r="J151" s="3"/>
      <c r="K151" s="3"/>
      <c r="L151" s="3"/>
      <c r="M151" s="3"/>
      <c r="N151" s="3"/>
      <c r="O151" s="4"/>
      <c r="P151" s="3"/>
      <c r="Q151" s="3"/>
      <c r="R151" s="3"/>
      <c r="S151" s="3"/>
      <c r="T151" s="3"/>
      <c r="U151" s="16"/>
      <c r="V151" s="3"/>
      <c r="X151" s="19">
        <v>0</v>
      </c>
    </row>
    <row r="152" spans="2:24" x14ac:dyDescent="0.3">
      <c r="B152" s="16"/>
      <c r="C152" s="3"/>
      <c r="D152" s="3"/>
      <c r="E152" s="3"/>
      <c r="F152" s="46"/>
      <c r="G152" s="3"/>
      <c r="H152" s="3"/>
      <c r="I152" s="3"/>
      <c r="J152" s="3"/>
      <c r="K152" s="3"/>
      <c r="L152" s="3"/>
      <c r="M152" s="3"/>
      <c r="N152" s="3"/>
      <c r="O152" s="4"/>
      <c r="P152" s="3"/>
      <c r="Q152" s="3"/>
      <c r="R152" s="3"/>
      <c r="S152" s="3"/>
      <c r="T152" s="3"/>
      <c r="U152" s="16"/>
      <c r="V152" s="3"/>
      <c r="X152" s="19">
        <v>0</v>
      </c>
    </row>
    <row r="153" spans="2:24" x14ac:dyDescent="0.3">
      <c r="B153" s="16"/>
      <c r="C153" s="3"/>
      <c r="D153" s="3"/>
      <c r="E153" s="3"/>
      <c r="F153" s="46"/>
      <c r="G153" s="3"/>
      <c r="H153" s="3"/>
      <c r="I153" s="3"/>
      <c r="J153" s="3"/>
      <c r="K153" s="3"/>
      <c r="L153" s="3"/>
      <c r="M153" s="3"/>
      <c r="N153" s="3"/>
      <c r="O153" s="4"/>
      <c r="P153" s="3"/>
      <c r="Q153" s="3"/>
      <c r="R153" s="3"/>
      <c r="S153" s="3"/>
      <c r="T153" s="3"/>
      <c r="U153" s="16"/>
      <c r="V153" s="3"/>
      <c r="X153" s="19">
        <v>0</v>
      </c>
    </row>
    <row r="154" spans="2:24" x14ac:dyDescent="0.3">
      <c r="B154" s="16"/>
      <c r="C154" s="3"/>
      <c r="D154" s="3"/>
      <c r="E154" s="3"/>
      <c r="F154" s="46"/>
      <c r="G154" s="3"/>
      <c r="H154" s="3"/>
      <c r="I154" s="3"/>
      <c r="J154" s="3"/>
      <c r="K154" s="3"/>
      <c r="L154" s="3"/>
      <c r="M154" s="3"/>
      <c r="N154" s="3"/>
      <c r="O154" s="4"/>
      <c r="P154" s="3"/>
      <c r="Q154" s="3"/>
      <c r="R154" s="3"/>
      <c r="S154" s="3"/>
      <c r="T154" s="3"/>
      <c r="U154" s="16"/>
      <c r="V154" s="3"/>
      <c r="X154" s="19">
        <v>0</v>
      </c>
    </row>
    <row r="155" spans="2:24" x14ac:dyDescent="0.3">
      <c r="B155" s="16"/>
      <c r="C155" s="3"/>
      <c r="D155" s="3"/>
      <c r="E155" s="3"/>
      <c r="F155" s="46"/>
      <c r="G155" s="3"/>
      <c r="H155" s="3"/>
      <c r="I155" s="3"/>
      <c r="J155" s="3"/>
      <c r="K155" s="3"/>
      <c r="L155" s="3"/>
      <c r="M155" s="3"/>
      <c r="N155" s="3"/>
      <c r="O155" s="4"/>
      <c r="P155" s="3"/>
      <c r="Q155" s="3"/>
      <c r="R155" s="3"/>
      <c r="S155" s="3"/>
      <c r="T155" s="3"/>
      <c r="U155" s="16"/>
      <c r="V155" s="3"/>
      <c r="X155" s="19">
        <v>0</v>
      </c>
    </row>
    <row r="156" spans="2:24" x14ac:dyDescent="0.3">
      <c r="B156" s="16"/>
      <c r="C156" s="3"/>
      <c r="D156" s="3"/>
      <c r="E156" s="3"/>
      <c r="F156" s="46"/>
      <c r="G156" s="3"/>
      <c r="H156" s="3"/>
      <c r="I156" s="3"/>
      <c r="J156" s="3"/>
      <c r="K156" s="3"/>
      <c r="L156" s="3"/>
      <c r="M156" s="3"/>
      <c r="N156" s="3"/>
      <c r="O156" s="4"/>
      <c r="P156" s="3"/>
      <c r="Q156" s="3"/>
      <c r="R156" s="3"/>
      <c r="S156" s="3"/>
      <c r="T156" s="3"/>
      <c r="U156" s="16"/>
      <c r="V156" s="3"/>
      <c r="X156" s="19">
        <v>0</v>
      </c>
    </row>
    <row r="157" spans="2:24" x14ac:dyDescent="0.3">
      <c r="B157" s="16"/>
      <c r="C157" s="3"/>
      <c r="D157" s="3"/>
      <c r="E157" s="3"/>
      <c r="F157" s="46"/>
      <c r="G157" s="3"/>
      <c r="H157" s="3"/>
      <c r="I157" s="3"/>
      <c r="J157" s="3"/>
      <c r="K157" s="3"/>
      <c r="L157" s="3"/>
      <c r="M157" s="3"/>
      <c r="N157" s="3"/>
      <c r="O157" s="4"/>
      <c r="P157" s="3"/>
      <c r="Q157" s="3"/>
      <c r="R157" s="3"/>
      <c r="S157" s="3"/>
      <c r="T157" s="3"/>
      <c r="U157" s="16"/>
      <c r="V157" s="3"/>
      <c r="X157" s="19">
        <v>0</v>
      </c>
    </row>
    <row r="158" spans="2:24" x14ac:dyDescent="0.3">
      <c r="B158" s="16"/>
      <c r="C158" s="3"/>
      <c r="D158" s="3"/>
      <c r="E158" s="3"/>
      <c r="F158" s="46"/>
      <c r="G158" s="3"/>
      <c r="H158" s="3"/>
      <c r="I158" s="3"/>
      <c r="J158" s="3"/>
      <c r="K158" s="3"/>
      <c r="L158" s="3"/>
      <c r="M158" s="3"/>
      <c r="N158" s="3"/>
      <c r="O158" s="4"/>
      <c r="P158" s="3"/>
      <c r="Q158" s="3"/>
      <c r="R158" s="3"/>
      <c r="S158" s="3"/>
      <c r="T158" s="3"/>
      <c r="U158" s="16"/>
      <c r="V158" s="3"/>
      <c r="X158" s="19">
        <v>0</v>
      </c>
    </row>
    <row r="159" spans="2:24" x14ac:dyDescent="0.3">
      <c r="B159" s="16"/>
      <c r="C159" s="3"/>
      <c r="D159" s="3"/>
      <c r="E159" s="3"/>
      <c r="F159" s="46"/>
      <c r="G159" s="3"/>
      <c r="H159" s="3"/>
      <c r="I159" s="3"/>
      <c r="J159" s="3"/>
      <c r="K159" s="3"/>
      <c r="L159" s="3"/>
      <c r="M159" s="3"/>
      <c r="N159" s="3"/>
      <c r="O159" s="4"/>
      <c r="P159" s="3"/>
      <c r="Q159" s="3"/>
      <c r="R159" s="3"/>
      <c r="S159" s="3"/>
      <c r="T159" s="3"/>
      <c r="U159" s="16"/>
      <c r="V159" s="3"/>
      <c r="X159" s="19">
        <v>0</v>
      </c>
    </row>
    <row r="160" spans="2:24" x14ac:dyDescent="0.3">
      <c r="B160" s="16"/>
      <c r="C160" s="3"/>
      <c r="D160" s="3"/>
      <c r="E160" s="3"/>
      <c r="F160" s="46"/>
      <c r="G160" s="3"/>
      <c r="H160" s="3"/>
      <c r="I160" s="3"/>
      <c r="J160" s="3"/>
      <c r="K160" s="3"/>
      <c r="L160" s="3"/>
      <c r="M160" s="3"/>
      <c r="N160" s="3"/>
      <c r="O160" s="4"/>
      <c r="P160" s="3"/>
      <c r="Q160" s="3"/>
      <c r="R160" s="3"/>
      <c r="S160" s="3"/>
      <c r="T160" s="3"/>
      <c r="U160" s="16"/>
      <c r="V160" s="3"/>
      <c r="X160" s="19">
        <v>0</v>
      </c>
    </row>
    <row r="161" spans="2:24" x14ac:dyDescent="0.3">
      <c r="B161" s="16"/>
      <c r="C161" s="3"/>
      <c r="D161" s="3"/>
      <c r="E161" s="3"/>
      <c r="F161" s="46"/>
      <c r="G161" s="3"/>
      <c r="H161" s="3"/>
      <c r="I161" s="3"/>
      <c r="J161" s="3"/>
      <c r="K161" s="3"/>
      <c r="L161" s="3"/>
      <c r="M161" s="3"/>
      <c r="N161" s="3"/>
      <c r="O161" s="4"/>
      <c r="P161" s="3"/>
      <c r="Q161" s="3"/>
      <c r="R161" s="3"/>
      <c r="S161" s="3"/>
      <c r="T161" s="3"/>
      <c r="U161" s="16"/>
      <c r="V161" s="3"/>
      <c r="X161" s="19">
        <v>0</v>
      </c>
    </row>
    <row r="162" spans="2:24" x14ac:dyDescent="0.3">
      <c r="B162" s="16"/>
      <c r="C162" s="3"/>
      <c r="D162" s="3"/>
      <c r="E162" s="3"/>
      <c r="F162" s="46"/>
      <c r="G162" s="3"/>
      <c r="H162" s="3"/>
      <c r="I162" s="3"/>
      <c r="J162" s="3"/>
      <c r="K162" s="3"/>
      <c r="L162" s="3"/>
      <c r="M162" s="3"/>
      <c r="N162" s="3"/>
      <c r="O162" s="4"/>
      <c r="P162" s="3"/>
      <c r="Q162" s="3"/>
      <c r="R162" s="3"/>
      <c r="S162" s="3"/>
      <c r="T162" s="3"/>
      <c r="U162" s="16"/>
      <c r="V162" s="3"/>
      <c r="X162" s="19">
        <v>0</v>
      </c>
    </row>
    <row r="163" spans="2:24" x14ac:dyDescent="0.3">
      <c r="B163" s="16"/>
      <c r="C163" s="3"/>
      <c r="D163" s="3"/>
      <c r="E163" s="3"/>
      <c r="F163" s="46"/>
      <c r="G163" s="3"/>
      <c r="H163" s="3"/>
      <c r="I163" s="3"/>
      <c r="J163" s="3"/>
      <c r="K163" s="3"/>
      <c r="L163" s="3"/>
      <c r="M163" s="3"/>
      <c r="N163" s="3"/>
      <c r="O163" s="4"/>
      <c r="P163" s="3"/>
      <c r="Q163" s="3"/>
      <c r="R163" s="3"/>
      <c r="S163" s="3"/>
      <c r="T163" s="3"/>
      <c r="U163" s="16"/>
      <c r="V163" s="3"/>
      <c r="X163" s="19">
        <v>0</v>
      </c>
    </row>
    <row r="164" spans="2:24" x14ac:dyDescent="0.3">
      <c r="B164" s="16"/>
      <c r="C164" s="3"/>
      <c r="D164" s="3"/>
      <c r="E164" s="3"/>
      <c r="F164" s="46"/>
      <c r="G164" s="3"/>
      <c r="H164" s="3"/>
      <c r="I164" s="3"/>
      <c r="J164" s="3"/>
      <c r="K164" s="3"/>
      <c r="L164" s="3"/>
      <c r="M164" s="3"/>
      <c r="N164" s="3"/>
      <c r="O164" s="4"/>
      <c r="P164" s="3"/>
      <c r="Q164" s="3"/>
      <c r="R164" s="3"/>
      <c r="S164" s="3"/>
      <c r="T164" s="3"/>
      <c r="U164" s="16"/>
      <c r="V164" s="3"/>
      <c r="X164" s="19">
        <v>0</v>
      </c>
    </row>
    <row r="165" spans="2:24" x14ac:dyDescent="0.3">
      <c r="B165" s="16"/>
      <c r="C165" s="3"/>
      <c r="D165" s="3"/>
      <c r="E165" s="3"/>
      <c r="F165" s="46"/>
      <c r="G165" s="3"/>
      <c r="H165" s="3"/>
      <c r="I165" s="3"/>
      <c r="J165" s="3"/>
      <c r="K165" s="3"/>
      <c r="L165" s="3"/>
      <c r="M165" s="3"/>
      <c r="N165" s="3"/>
      <c r="O165" s="4"/>
      <c r="P165" s="3"/>
      <c r="Q165" s="3"/>
      <c r="R165" s="3"/>
      <c r="S165" s="3"/>
      <c r="T165" s="3"/>
      <c r="U165" s="16"/>
      <c r="V165" s="3"/>
      <c r="X165" s="19">
        <v>0</v>
      </c>
    </row>
    <row r="166" spans="2:24" x14ac:dyDescent="0.3">
      <c r="B166" s="16"/>
      <c r="C166" s="3"/>
      <c r="D166" s="3"/>
      <c r="E166" s="3"/>
      <c r="F166" s="46"/>
      <c r="G166" s="3"/>
      <c r="H166" s="3"/>
      <c r="I166" s="3"/>
      <c r="J166" s="3"/>
      <c r="K166" s="3"/>
      <c r="L166" s="3"/>
      <c r="M166" s="3"/>
      <c r="N166" s="3"/>
      <c r="O166" s="4"/>
      <c r="P166" s="3"/>
      <c r="Q166" s="3"/>
      <c r="R166" s="3"/>
      <c r="S166" s="3"/>
      <c r="T166" s="3"/>
      <c r="U166" s="16"/>
      <c r="V166" s="3"/>
      <c r="X166" s="19">
        <v>0</v>
      </c>
    </row>
    <row r="167" spans="2:24" x14ac:dyDescent="0.3">
      <c r="B167" s="16"/>
      <c r="C167" s="3"/>
      <c r="D167" s="3"/>
      <c r="E167" s="3"/>
      <c r="F167" s="46"/>
      <c r="G167" s="3"/>
      <c r="H167" s="3"/>
      <c r="I167" s="3"/>
      <c r="J167" s="3"/>
      <c r="K167" s="3"/>
      <c r="L167" s="3"/>
      <c r="M167" s="3"/>
      <c r="N167" s="3"/>
      <c r="O167" s="4"/>
      <c r="P167" s="3"/>
      <c r="Q167" s="3"/>
      <c r="R167" s="3"/>
      <c r="S167" s="3"/>
      <c r="T167" s="3"/>
      <c r="U167" s="16"/>
      <c r="V167" s="3"/>
      <c r="X167" s="19">
        <v>0</v>
      </c>
    </row>
    <row r="168" spans="2:24" x14ac:dyDescent="0.3">
      <c r="B168" s="16"/>
      <c r="C168" s="3"/>
      <c r="D168" s="3"/>
      <c r="E168" s="3"/>
      <c r="F168" s="46"/>
      <c r="G168" s="3"/>
      <c r="H168" s="3"/>
      <c r="I168" s="3"/>
      <c r="J168" s="3"/>
      <c r="K168" s="3"/>
      <c r="L168" s="3"/>
      <c r="M168" s="3"/>
      <c r="N168" s="3"/>
      <c r="O168" s="4"/>
      <c r="P168" s="3"/>
      <c r="Q168" s="3"/>
      <c r="R168" s="3"/>
      <c r="S168" s="3"/>
      <c r="T168" s="3"/>
      <c r="U168" s="16"/>
      <c r="V168" s="3"/>
      <c r="X168" s="19">
        <v>0</v>
      </c>
    </row>
    <row r="169" spans="2:24" x14ac:dyDescent="0.3">
      <c r="B169" s="16"/>
      <c r="C169" s="3"/>
      <c r="D169" s="3"/>
      <c r="E169" s="3"/>
      <c r="F169" s="46"/>
      <c r="G169" s="3"/>
      <c r="H169" s="3"/>
      <c r="I169" s="3"/>
      <c r="J169" s="3"/>
      <c r="K169" s="3"/>
      <c r="L169" s="3"/>
      <c r="M169" s="3"/>
      <c r="N169" s="3"/>
      <c r="O169" s="4"/>
      <c r="P169" s="3"/>
      <c r="Q169" s="3"/>
      <c r="R169" s="3"/>
      <c r="S169" s="3"/>
      <c r="T169" s="3"/>
      <c r="U169" s="16"/>
      <c r="V169" s="3"/>
      <c r="X169" s="19">
        <v>0</v>
      </c>
    </row>
    <row r="170" spans="2:24" x14ac:dyDescent="0.3">
      <c r="B170" s="16"/>
      <c r="C170" s="3"/>
      <c r="D170" s="3"/>
      <c r="E170" s="3"/>
      <c r="F170" s="46"/>
      <c r="G170" s="3"/>
      <c r="H170" s="3"/>
      <c r="I170" s="3"/>
      <c r="J170" s="3"/>
      <c r="K170" s="3"/>
      <c r="L170" s="3"/>
      <c r="M170" s="3"/>
      <c r="N170" s="3"/>
      <c r="O170" s="4"/>
      <c r="P170" s="3"/>
      <c r="Q170" s="3"/>
      <c r="R170" s="3"/>
      <c r="S170" s="3"/>
      <c r="T170" s="3"/>
      <c r="U170" s="16"/>
      <c r="V170" s="3"/>
      <c r="X170" s="19">
        <v>0</v>
      </c>
    </row>
    <row r="171" spans="2:24" x14ac:dyDescent="0.3">
      <c r="B171" s="16"/>
      <c r="C171" s="3"/>
      <c r="D171" s="3"/>
      <c r="E171" s="3"/>
      <c r="F171" s="46"/>
      <c r="G171" s="3"/>
      <c r="H171" s="3"/>
      <c r="I171" s="3"/>
      <c r="J171" s="3"/>
      <c r="K171" s="3"/>
      <c r="L171" s="3"/>
      <c r="M171" s="3"/>
      <c r="N171" s="3"/>
      <c r="O171" s="4"/>
      <c r="P171" s="3"/>
      <c r="Q171" s="3"/>
      <c r="R171" s="3"/>
      <c r="S171" s="3"/>
      <c r="T171" s="3"/>
      <c r="U171" s="16"/>
      <c r="V171" s="3"/>
      <c r="X171" s="19">
        <v>0</v>
      </c>
    </row>
    <row r="172" spans="2:24" x14ac:dyDescent="0.3">
      <c r="B172" s="16"/>
      <c r="C172" s="3"/>
      <c r="D172" s="3"/>
      <c r="E172" s="3"/>
      <c r="F172" s="46"/>
      <c r="G172" s="3"/>
      <c r="H172" s="3"/>
      <c r="I172" s="3"/>
      <c r="J172" s="3"/>
      <c r="K172" s="3"/>
      <c r="L172" s="3"/>
      <c r="M172" s="3"/>
      <c r="N172" s="3"/>
      <c r="O172" s="4"/>
      <c r="P172" s="3"/>
      <c r="Q172" s="3"/>
      <c r="R172" s="3"/>
      <c r="S172" s="3"/>
      <c r="T172" s="3"/>
      <c r="U172" s="16"/>
      <c r="V172" s="3"/>
      <c r="X172" s="19">
        <v>0</v>
      </c>
    </row>
    <row r="173" spans="2:24" x14ac:dyDescent="0.3">
      <c r="B173" s="16"/>
      <c r="C173" s="3"/>
      <c r="D173" s="3"/>
      <c r="E173" s="3"/>
      <c r="F173" s="46"/>
      <c r="G173" s="3"/>
      <c r="H173" s="3"/>
      <c r="I173" s="3"/>
      <c r="J173" s="3"/>
      <c r="K173" s="3"/>
      <c r="L173" s="3"/>
      <c r="M173" s="3"/>
      <c r="N173" s="3"/>
      <c r="O173" s="4"/>
      <c r="P173" s="3"/>
      <c r="Q173" s="3"/>
      <c r="R173" s="3"/>
      <c r="S173" s="3"/>
      <c r="T173" s="3"/>
      <c r="U173" s="16"/>
      <c r="V173" s="3"/>
      <c r="X173" s="19">
        <v>0</v>
      </c>
    </row>
    <row r="174" spans="2:24" x14ac:dyDescent="0.3">
      <c r="B174" s="16"/>
      <c r="C174" s="3"/>
      <c r="D174" s="3"/>
      <c r="E174" s="3"/>
      <c r="F174" s="46"/>
      <c r="G174" s="3"/>
      <c r="H174" s="3"/>
      <c r="I174" s="3"/>
      <c r="J174" s="3"/>
      <c r="K174" s="3"/>
      <c r="L174" s="3"/>
      <c r="M174" s="3"/>
      <c r="N174" s="3"/>
      <c r="O174" s="4"/>
      <c r="P174" s="3"/>
      <c r="Q174" s="3"/>
      <c r="R174" s="3"/>
      <c r="S174" s="3"/>
      <c r="T174" s="3"/>
      <c r="U174" s="16"/>
      <c r="V174" s="3"/>
      <c r="X174" s="19">
        <v>0</v>
      </c>
    </row>
    <row r="175" spans="2:24" x14ac:dyDescent="0.3">
      <c r="B175" s="16"/>
      <c r="C175" s="3"/>
      <c r="D175" s="3"/>
      <c r="E175" s="3"/>
      <c r="F175" s="46"/>
      <c r="G175" s="3"/>
      <c r="H175" s="3"/>
      <c r="I175" s="3"/>
      <c r="J175" s="3"/>
      <c r="K175" s="3"/>
      <c r="L175" s="3"/>
      <c r="M175" s="3"/>
      <c r="N175" s="3"/>
      <c r="O175" s="4"/>
      <c r="P175" s="3"/>
      <c r="Q175" s="3"/>
      <c r="R175" s="3"/>
      <c r="S175" s="3"/>
      <c r="T175" s="3"/>
      <c r="U175" s="16"/>
      <c r="V175" s="3"/>
      <c r="X175" s="19">
        <v>0</v>
      </c>
    </row>
    <row r="176" spans="2:24" x14ac:dyDescent="0.3">
      <c r="B176" s="16"/>
      <c r="C176" s="3"/>
      <c r="D176" s="3"/>
      <c r="E176" s="3"/>
      <c r="F176" s="46"/>
      <c r="G176" s="3"/>
      <c r="H176" s="3"/>
      <c r="I176" s="3"/>
      <c r="J176" s="3"/>
      <c r="K176" s="3"/>
      <c r="L176" s="3"/>
      <c r="M176" s="3"/>
      <c r="N176" s="3"/>
      <c r="O176" s="4"/>
      <c r="P176" s="3"/>
      <c r="Q176" s="3"/>
      <c r="R176" s="3"/>
      <c r="S176" s="3"/>
      <c r="T176" s="3"/>
      <c r="U176" s="16"/>
      <c r="V176" s="3"/>
      <c r="X176" s="19">
        <v>0</v>
      </c>
    </row>
    <row r="177" spans="2:24" x14ac:dyDescent="0.3">
      <c r="B177" s="16"/>
      <c r="C177" s="3"/>
      <c r="D177" s="3"/>
      <c r="E177" s="3"/>
      <c r="F177" s="46"/>
      <c r="G177" s="3"/>
      <c r="H177" s="3"/>
      <c r="I177" s="3"/>
      <c r="J177" s="3"/>
      <c r="K177" s="3"/>
      <c r="L177" s="3"/>
      <c r="M177" s="3"/>
      <c r="N177" s="3"/>
      <c r="O177" s="4"/>
      <c r="P177" s="3"/>
      <c r="Q177" s="3"/>
      <c r="R177" s="3"/>
      <c r="S177" s="3"/>
      <c r="T177" s="3"/>
      <c r="U177" s="16"/>
      <c r="V177" s="3"/>
      <c r="X177" s="19">
        <v>0</v>
      </c>
    </row>
    <row r="178" spans="2:24" x14ac:dyDescent="0.3">
      <c r="B178" s="16"/>
      <c r="C178" s="3"/>
      <c r="D178" s="3"/>
      <c r="E178" s="3"/>
      <c r="F178" s="46"/>
      <c r="G178" s="3"/>
      <c r="H178" s="3"/>
      <c r="I178" s="3"/>
      <c r="J178" s="3"/>
      <c r="K178" s="3"/>
      <c r="L178" s="3"/>
      <c r="M178" s="3"/>
      <c r="N178" s="3"/>
      <c r="O178" s="4"/>
      <c r="P178" s="3"/>
      <c r="Q178" s="3"/>
      <c r="R178" s="3"/>
      <c r="S178" s="3"/>
      <c r="T178" s="3"/>
      <c r="U178" s="16"/>
      <c r="V178" s="3"/>
      <c r="X178" s="19">
        <v>0</v>
      </c>
    </row>
    <row r="179" spans="2:24" x14ac:dyDescent="0.3">
      <c r="B179" s="16"/>
      <c r="C179" s="3"/>
      <c r="D179" s="3"/>
      <c r="E179" s="3"/>
      <c r="F179" s="46"/>
      <c r="G179" s="3"/>
      <c r="H179" s="3"/>
      <c r="I179" s="3"/>
      <c r="J179" s="3"/>
      <c r="K179" s="3"/>
      <c r="L179" s="3"/>
      <c r="M179" s="3"/>
      <c r="N179" s="3"/>
      <c r="O179" s="4"/>
      <c r="P179" s="3"/>
      <c r="Q179" s="3"/>
      <c r="R179" s="3"/>
      <c r="S179" s="3"/>
      <c r="T179" s="3"/>
      <c r="U179" s="16"/>
      <c r="V179" s="3"/>
      <c r="X179" s="19">
        <v>0</v>
      </c>
    </row>
    <row r="180" spans="2:24" x14ac:dyDescent="0.3">
      <c r="B180" s="16"/>
      <c r="C180" s="3"/>
      <c r="D180" s="3"/>
      <c r="E180" s="3"/>
      <c r="F180" s="46"/>
      <c r="G180" s="3"/>
      <c r="H180" s="3"/>
      <c r="I180" s="3"/>
      <c r="J180" s="3"/>
      <c r="K180" s="3"/>
      <c r="L180" s="3"/>
      <c r="M180" s="3"/>
      <c r="N180" s="3"/>
      <c r="O180" s="4"/>
      <c r="P180" s="3"/>
      <c r="Q180" s="3"/>
      <c r="R180" s="3"/>
      <c r="S180" s="3"/>
      <c r="T180" s="3"/>
      <c r="U180" s="16"/>
      <c r="V180" s="3"/>
      <c r="X180" s="19">
        <v>0</v>
      </c>
    </row>
    <row r="181" spans="2:24" x14ac:dyDescent="0.3">
      <c r="B181" s="16"/>
      <c r="C181" s="3"/>
      <c r="D181" s="3"/>
      <c r="E181" s="3"/>
      <c r="F181" s="46"/>
      <c r="G181" s="3"/>
      <c r="H181" s="3"/>
      <c r="I181" s="3"/>
      <c r="J181" s="3"/>
      <c r="K181" s="3"/>
      <c r="L181" s="3"/>
      <c r="M181" s="3"/>
      <c r="N181" s="3"/>
      <c r="O181" s="4"/>
      <c r="P181" s="3"/>
      <c r="Q181" s="3"/>
      <c r="R181" s="3"/>
      <c r="S181" s="3"/>
      <c r="T181" s="3"/>
      <c r="U181" s="16"/>
      <c r="V181" s="3"/>
      <c r="X181" s="19">
        <v>0</v>
      </c>
    </row>
    <row r="182" spans="2:24" x14ac:dyDescent="0.3">
      <c r="B182" s="16"/>
      <c r="C182" s="3"/>
      <c r="D182" s="3"/>
      <c r="E182" s="3"/>
      <c r="F182" s="46"/>
      <c r="G182" s="3"/>
      <c r="H182" s="3"/>
      <c r="I182" s="3"/>
      <c r="J182" s="3"/>
      <c r="K182" s="3"/>
      <c r="L182" s="3"/>
      <c r="M182" s="3"/>
      <c r="N182" s="3"/>
      <c r="O182" s="4"/>
      <c r="P182" s="3"/>
      <c r="Q182" s="3"/>
      <c r="R182" s="3"/>
      <c r="S182" s="3"/>
      <c r="T182" s="3"/>
      <c r="U182" s="16"/>
      <c r="V182" s="3"/>
      <c r="X182" s="19">
        <v>0</v>
      </c>
    </row>
    <row r="183" spans="2:24" x14ac:dyDescent="0.3">
      <c r="B183" s="16"/>
      <c r="C183" s="3"/>
      <c r="D183" s="3"/>
      <c r="E183" s="3"/>
      <c r="F183" s="46"/>
      <c r="G183" s="3"/>
      <c r="H183" s="3"/>
      <c r="I183" s="3"/>
      <c r="J183" s="3"/>
      <c r="K183" s="3"/>
      <c r="L183" s="3"/>
      <c r="M183" s="3"/>
      <c r="N183" s="3"/>
      <c r="O183" s="4"/>
      <c r="P183" s="3"/>
      <c r="Q183" s="3"/>
      <c r="R183" s="3"/>
      <c r="S183" s="3"/>
      <c r="T183" s="3"/>
      <c r="U183" s="16"/>
      <c r="V183" s="3"/>
      <c r="X183" s="19">
        <v>0</v>
      </c>
    </row>
    <row r="184" spans="2:24" x14ac:dyDescent="0.3">
      <c r="B184" s="16"/>
      <c r="C184" s="3"/>
      <c r="D184" s="3"/>
      <c r="E184" s="3"/>
      <c r="F184" s="46"/>
      <c r="G184" s="3"/>
      <c r="H184" s="3"/>
      <c r="I184" s="3"/>
      <c r="J184" s="3"/>
      <c r="K184" s="3"/>
      <c r="L184" s="3"/>
      <c r="M184" s="3"/>
      <c r="N184" s="3"/>
      <c r="O184" s="4"/>
      <c r="P184" s="3"/>
      <c r="Q184" s="3"/>
      <c r="R184" s="3"/>
      <c r="S184" s="3"/>
      <c r="T184" s="3"/>
      <c r="U184" s="16"/>
      <c r="V184" s="3"/>
      <c r="X184" s="19">
        <v>0</v>
      </c>
    </row>
    <row r="185" spans="2:24" x14ac:dyDescent="0.3">
      <c r="B185" s="16"/>
      <c r="C185" s="3"/>
      <c r="D185" s="3"/>
      <c r="E185" s="3"/>
      <c r="F185" s="46"/>
      <c r="G185" s="3"/>
      <c r="H185" s="3"/>
      <c r="I185" s="3"/>
      <c r="J185" s="3"/>
      <c r="K185" s="3"/>
      <c r="L185" s="3"/>
      <c r="M185" s="3"/>
      <c r="N185" s="3"/>
      <c r="O185" s="4"/>
      <c r="P185" s="3"/>
      <c r="Q185" s="3"/>
      <c r="R185" s="3"/>
      <c r="S185" s="3"/>
      <c r="T185" s="3"/>
      <c r="U185" s="16"/>
      <c r="V185" s="3"/>
      <c r="X185" s="19">
        <v>0</v>
      </c>
    </row>
    <row r="186" spans="2:24" x14ac:dyDescent="0.3">
      <c r="B186" s="16"/>
      <c r="C186" s="3"/>
      <c r="D186" s="3"/>
      <c r="E186" s="3"/>
      <c r="F186" s="46"/>
      <c r="G186" s="3"/>
      <c r="H186" s="3"/>
      <c r="I186" s="3"/>
      <c r="J186" s="3"/>
      <c r="K186" s="3"/>
      <c r="L186" s="3"/>
      <c r="M186" s="3"/>
      <c r="N186" s="3"/>
      <c r="O186" s="4"/>
      <c r="P186" s="3"/>
      <c r="Q186" s="3"/>
      <c r="R186" s="3"/>
      <c r="S186" s="3"/>
      <c r="T186" s="3"/>
      <c r="U186" s="16"/>
      <c r="V186" s="3"/>
      <c r="X186" s="19">
        <v>0</v>
      </c>
    </row>
    <row r="187" spans="2:24" x14ac:dyDescent="0.3">
      <c r="B187" s="16"/>
      <c r="C187" s="3"/>
      <c r="D187" s="3"/>
      <c r="E187" s="3"/>
      <c r="F187" s="46"/>
      <c r="G187" s="3"/>
      <c r="H187" s="3"/>
      <c r="I187" s="3"/>
      <c r="J187" s="3"/>
      <c r="K187" s="3"/>
      <c r="L187" s="3"/>
      <c r="M187" s="3"/>
      <c r="N187" s="3"/>
      <c r="O187" s="4"/>
      <c r="P187" s="3"/>
      <c r="Q187" s="3"/>
      <c r="R187" s="3"/>
      <c r="S187" s="3"/>
      <c r="T187" s="3"/>
      <c r="U187" s="16"/>
      <c r="V187" s="3"/>
      <c r="X187" s="19">
        <v>0</v>
      </c>
    </row>
    <row r="188" spans="2:24" x14ac:dyDescent="0.3">
      <c r="B188" s="16"/>
      <c r="C188" s="3"/>
      <c r="D188" s="3"/>
      <c r="E188" s="3"/>
      <c r="F188" s="46"/>
      <c r="G188" s="3"/>
      <c r="H188" s="3"/>
      <c r="I188" s="3"/>
      <c r="J188" s="3"/>
      <c r="K188" s="3"/>
      <c r="L188" s="3"/>
      <c r="M188" s="3"/>
      <c r="N188" s="3"/>
      <c r="O188" s="4"/>
      <c r="P188" s="3"/>
      <c r="Q188" s="3"/>
      <c r="R188" s="3"/>
      <c r="S188" s="3"/>
      <c r="T188" s="3"/>
      <c r="U188" s="16"/>
      <c r="V188" s="3"/>
      <c r="X188" s="19">
        <v>0</v>
      </c>
    </row>
    <row r="189" spans="2:24" x14ac:dyDescent="0.3">
      <c r="B189" s="16"/>
      <c r="C189" s="3"/>
      <c r="D189" s="3"/>
      <c r="E189" s="3"/>
      <c r="F189" s="46"/>
      <c r="G189" s="3"/>
      <c r="H189" s="3"/>
      <c r="I189" s="3"/>
      <c r="J189" s="3"/>
      <c r="K189" s="3"/>
      <c r="L189" s="3"/>
      <c r="M189" s="3"/>
      <c r="N189" s="3"/>
      <c r="O189" s="4"/>
      <c r="P189" s="3"/>
      <c r="Q189" s="3"/>
      <c r="R189" s="3"/>
      <c r="S189" s="3"/>
      <c r="T189" s="3"/>
      <c r="U189" s="16"/>
      <c r="V189" s="3"/>
      <c r="X189" s="19">
        <v>0</v>
      </c>
    </row>
    <row r="190" spans="2:24" x14ac:dyDescent="0.3">
      <c r="B190" s="16"/>
      <c r="C190" s="3"/>
      <c r="D190" s="3"/>
      <c r="E190" s="3"/>
      <c r="F190" s="46"/>
      <c r="G190" s="3"/>
      <c r="H190" s="3"/>
      <c r="I190" s="3"/>
      <c r="J190" s="3"/>
      <c r="K190" s="3"/>
      <c r="L190" s="3"/>
      <c r="M190" s="3"/>
      <c r="N190" s="3"/>
      <c r="O190" s="4"/>
      <c r="P190" s="3"/>
      <c r="Q190" s="3"/>
      <c r="R190" s="3"/>
      <c r="S190" s="3"/>
      <c r="T190" s="3"/>
      <c r="U190" s="16"/>
      <c r="V190" s="3"/>
      <c r="X190" s="19">
        <v>0</v>
      </c>
    </row>
    <row r="191" spans="2:24" x14ac:dyDescent="0.3">
      <c r="B191" s="16"/>
      <c r="C191" s="3"/>
      <c r="D191" s="3"/>
      <c r="E191" s="3"/>
      <c r="F191" s="46"/>
      <c r="G191" s="3"/>
      <c r="H191" s="3"/>
      <c r="I191" s="3"/>
      <c r="J191" s="3"/>
      <c r="K191" s="3"/>
      <c r="L191" s="3"/>
      <c r="M191" s="3"/>
      <c r="N191" s="3"/>
      <c r="O191" s="4"/>
      <c r="P191" s="3"/>
      <c r="Q191" s="3"/>
      <c r="R191" s="3"/>
      <c r="S191" s="3"/>
      <c r="T191" s="3"/>
      <c r="U191" s="16"/>
      <c r="V191" s="3"/>
      <c r="X191" s="19">
        <v>0</v>
      </c>
    </row>
    <row r="192" spans="2:24" x14ac:dyDescent="0.3">
      <c r="B192" s="16"/>
      <c r="C192" s="3"/>
      <c r="D192" s="3"/>
      <c r="E192" s="3"/>
      <c r="F192" s="46"/>
      <c r="G192" s="3"/>
      <c r="H192" s="3"/>
      <c r="I192" s="3"/>
      <c r="J192" s="3"/>
      <c r="K192" s="3"/>
      <c r="L192" s="3"/>
      <c r="M192" s="3"/>
      <c r="N192" s="3"/>
      <c r="O192" s="4"/>
      <c r="P192" s="3"/>
      <c r="Q192" s="3"/>
      <c r="R192" s="3"/>
      <c r="S192" s="3"/>
      <c r="T192" s="3"/>
      <c r="U192" s="16"/>
      <c r="V192" s="3"/>
      <c r="X192" s="19">
        <v>0</v>
      </c>
    </row>
    <row r="193" spans="2:24" x14ac:dyDescent="0.3">
      <c r="B193" s="16"/>
      <c r="C193" s="3"/>
      <c r="D193" s="3"/>
      <c r="E193" s="3"/>
      <c r="F193" s="46"/>
      <c r="G193" s="3"/>
      <c r="H193" s="3"/>
      <c r="I193" s="3"/>
      <c r="J193" s="3"/>
      <c r="K193" s="3"/>
      <c r="L193" s="3"/>
      <c r="M193" s="3"/>
      <c r="N193" s="3"/>
      <c r="O193" s="4"/>
      <c r="P193" s="3"/>
      <c r="Q193" s="3"/>
      <c r="R193" s="3"/>
      <c r="S193" s="3"/>
      <c r="T193" s="3"/>
      <c r="U193" s="16"/>
      <c r="V193" s="3"/>
      <c r="X193" s="19">
        <v>0</v>
      </c>
    </row>
    <row r="194" spans="2:24" x14ac:dyDescent="0.3">
      <c r="B194" s="16"/>
      <c r="C194" s="3"/>
      <c r="D194" s="3"/>
      <c r="E194" s="3"/>
      <c r="F194" s="46"/>
      <c r="G194" s="3"/>
      <c r="H194" s="3"/>
      <c r="I194" s="3"/>
      <c r="J194" s="3"/>
      <c r="K194" s="3"/>
      <c r="L194" s="3"/>
      <c r="M194" s="3"/>
      <c r="N194" s="3"/>
      <c r="O194" s="4"/>
      <c r="P194" s="3"/>
      <c r="Q194" s="3"/>
      <c r="R194" s="3"/>
      <c r="S194" s="3"/>
      <c r="T194" s="3"/>
      <c r="U194" s="16"/>
      <c r="V194" s="3"/>
      <c r="X194" s="19">
        <v>0</v>
      </c>
    </row>
    <row r="195" spans="2:24" x14ac:dyDescent="0.3">
      <c r="B195" s="16"/>
      <c r="C195" s="3"/>
      <c r="D195" s="3"/>
      <c r="E195" s="3"/>
      <c r="F195" s="46"/>
      <c r="G195" s="3"/>
      <c r="H195" s="3"/>
      <c r="I195" s="3"/>
      <c r="J195" s="3"/>
      <c r="K195" s="3"/>
      <c r="L195" s="3"/>
      <c r="M195" s="3"/>
      <c r="N195" s="3"/>
      <c r="O195" s="4"/>
      <c r="P195" s="3"/>
      <c r="Q195" s="3"/>
      <c r="R195" s="3"/>
      <c r="S195" s="3"/>
      <c r="T195" s="3"/>
      <c r="U195" s="16"/>
      <c r="V195" s="3"/>
      <c r="X195" s="19">
        <v>0</v>
      </c>
    </row>
    <row r="196" spans="2:24" x14ac:dyDescent="0.3">
      <c r="B196" s="16"/>
      <c r="C196" s="3"/>
      <c r="D196" s="3"/>
      <c r="E196" s="3"/>
      <c r="F196" s="46"/>
      <c r="G196" s="3"/>
      <c r="H196" s="3"/>
      <c r="I196" s="3"/>
      <c r="J196" s="3"/>
      <c r="K196" s="3"/>
      <c r="L196" s="3"/>
      <c r="M196" s="3"/>
      <c r="N196" s="3"/>
      <c r="O196" s="4"/>
      <c r="P196" s="3"/>
      <c r="Q196" s="3"/>
      <c r="R196" s="3"/>
      <c r="S196" s="3"/>
      <c r="T196" s="3"/>
      <c r="U196" s="16"/>
      <c r="V196" s="3"/>
      <c r="X196" s="19">
        <v>0</v>
      </c>
    </row>
    <row r="197" spans="2:24" x14ac:dyDescent="0.3">
      <c r="B197" s="16"/>
      <c r="C197" s="3"/>
      <c r="D197" s="3"/>
      <c r="E197" s="3"/>
      <c r="F197" s="46"/>
      <c r="G197" s="3"/>
      <c r="H197" s="3"/>
      <c r="I197" s="3"/>
      <c r="J197" s="3"/>
      <c r="K197" s="3"/>
      <c r="L197" s="3"/>
      <c r="M197" s="3"/>
      <c r="N197" s="3"/>
      <c r="O197" s="4"/>
      <c r="P197" s="3"/>
      <c r="Q197" s="3"/>
      <c r="R197" s="3"/>
      <c r="S197" s="3"/>
      <c r="T197" s="3"/>
      <c r="U197" s="16"/>
      <c r="V197" s="3"/>
      <c r="X197" s="19">
        <v>0</v>
      </c>
    </row>
    <row r="198" spans="2:24" x14ac:dyDescent="0.3">
      <c r="B198" s="16"/>
      <c r="C198" s="3"/>
      <c r="D198" s="3"/>
      <c r="E198" s="3"/>
      <c r="F198" s="46"/>
      <c r="G198" s="3"/>
      <c r="H198" s="3"/>
      <c r="I198" s="3"/>
      <c r="J198" s="3"/>
      <c r="K198" s="3"/>
      <c r="L198" s="3"/>
      <c r="M198" s="3"/>
      <c r="N198" s="3"/>
      <c r="O198" s="4"/>
      <c r="P198" s="3"/>
      <c r="Q198" s="3"/>
      <c r="R198" s="3"/>
      <c r="S198" s="3"/>
      <c r="T198" s="3"/>
      <c r="U198" s="16"/>
      <c r="V198" s="3"/>
      <c r="X198" s="19">
        <v>0</v>
      </c>
    </row>
    <row r="199" spans="2:24" x14ac:dyDescent="0.3">
      <c r="B199" s="16"/>
      <c r="C199" s="3"/>
      <c r="D199" s="3"/>
      <c r="E199" s="3"/>
      <c r="F199" s="46"/>
      <c r="G199" s="3"/>
      <c r="H199" s="3"/>
      <c r="I199" s="3"/>
      <c r="J199" s="3"/>
      <c r="K199" s="3"/>
      <c r="L199" s="3"/>
      <c r="M199" s="3"/>
      <c r="N199" s="3"/>
      <c r="O199" s="4"/>
      <c r="P199" s="3"/>
      <c r="Q199" s="3"/>
      <c r="R199" s="3"/>
      <c r="S199" s="3"/>
      <c r="T199" s="3"/>
      <c r="U199" s="16"/>
      <c r="V199" s="3"/>
      <c r="X199" s="19">
        <v>0</v>
      </c>
    </row>
    <row r="200" spans="2:24" x14ac:dyDescent="0.3">
      <c r="B200" s="16"/>
      <c r="C200" s="3"/>
      <c r="D200" s="3"/>
      <c r="E200" s="3"/>
      <c r="F200" s="46"/>
      <c r="G200" s="3"/>
      <c r="H200" s="3"/>
      <c r="I200" s="3"/>
      <c r="J200" s="3"/>
      <c r="K200" s="3"/>
      <c r="L200" s="3"/>
      <c r="M200" s="3"/>
      <c r="N200" s="3"/>
      <c r="O200" s="4"/>
      <c r="P200" s="3"/>
      <c r="Q200" s="3"/>
      <c r="R200" s="3"/>
      <c r="S200" s="3"/>
      <c r="T200" s="3"/>
      <c r="U200" s="16"/>
      <c r="V200" s="3"/>
      <c r="X200" s="19">
        <v>0</v>
      </c>
    </row>
    <row r="201" spans="2:24" x14ac:dyDescent="0.3">
      <c r="B201" s="16"/>
      <c r="C201" s="3"/>
      <c r="D201" s="3"/>
      <c r="E201" s="3"/>
      <c r="F201" s="46"/>
      <c r="G201" s="3"/>
      <c r="H201" s="3"/>
      <c r="I201" s="3"/>
      <c r="J201" s="3"/>
      <c r="K201" s="3"/>
      <c r="L201" s="3"/>
      <c r="M201" s="3"/>
      <c r="N201" s="3"/>
      <c r="O201" s="4"/>
      <c r="P201" s="3"/>
      <c r="Q201" s="3"/>
      <c r="R201" s="3"/>
      <c r="S201" s="3"/>
      <c r="T201" s="3"/>
      <c r="U201" s="16"/>
      <c r="V201" s="3"/>
      <c r="X201" s="19">
        <v>0</v>
      </c>
    </row>
    <row r="202" spans="2:24" x14ac:dyDescent="0.3">
      <c r="B202" s="16"/>
      <c r="C202" s="3"/>
      <c r="D202" s="3"/>
      <c r="E202" s="3"/>
      <c r="F202" s="46"/>
      <c r="G202" s="3"/>
      <c r="H202" s="3"/>
      <c r="I202" s="3"/>
      <c r="J202" s="3"/>
      <c r="K202" s="3"/>
      <c r="L202" s="3"/>
      <c r="M202" s="3"/>
      <c r="N202" s="3"/>
      <c r="O202" s="4"/>
      <c r="P202" s="3"/>
      <c r="Q202" s="3"/>
      <c r="R202" s="3"/>
      <c r="S202" s="3"/>
      <c r="T202" s="3"/>
      <c r="U202" s="16"/>
      <c r="V202" s="3"/>
      <c r="X202" s="19">
        <v>0</v>
      </c>
    </row>
    <row r="203" spans="2:24" x14ac:dyDescent="0.3">
      <c r="B203" s="16"/>
      <c r="C203" s="3"/>
      <c r="D203" s="3"/>
      <c r="E203" s="3"/>
      <c r="F203" s="46"/>
      <c r="G203" s="3"/>
      <c r="H203" s="3"/>
      <c r="I203" s="3"/>
      <c r="J203" s="3"/>
      <c r="K203" s="3"/>
      <c r="L203" s="3"/>
      <c r="M203" s="3"/>
      <c r="N203" s="3"/>
      <c r="O203" s="4"/>
      <c r="P203" s="3"/>
      <c r="Q203" s="3"/>
      <c r="R203" s="3"/>
      <c r="S203" s="3"/>
      <c r="T203" s="3"/>
      <c r="U203" s="16"/>
      <c r="V203" s="3"/>
      <c r="X203" s="19">
        <v>0</v>
      </c>
    </row>
    <row r="204" spans="2:24" x14ac:dyDescent="0.3">
      <c r="B204" s="16"/>
      <c r="C204" s="3"/>
      <c r="D204" s="3"/>
      <c r="E204" s="3"/>
      <c r="F204" s="46"/>
      <c r="G204" s="3"/>
      <c r="H204" s="3"/>
      <c r="I204" s="3"/>
      <c r="J204" s="3"/>
      <c r="K204" s="3"/>
      <c r="L204" s="3"/>
      <c r="M204" s="3"/>
      <c r="N204" s="3"/>
      <c r="O204" s="4"/>
      <c r="P204" s="3"/>
      <c r="Q204" s="3"/>
      <c r="R204" s="3"/>
      <c r="S204" s="3"/>
      <c r="T204" s="3"/>
      <c r="U204" s="16"/>
      <c r="V204" s="3"/>
      <c r="X204" s="19">
        <v>0</v>
      </c>
    </row>
    <row r="205" spans="2:24" x14ac:dyDescent="0.3">
      <c r="B205" s="16"/>
      <c r="C205" s="3"/>
      <c r="D205" s="3"/>
      <c r="E205" s="3"/>
      <c r="F205" s="46"/>
      <c r="G205" s="3"/>
      <c r="H205" s="3"/>
      <c r="I205" s="3"/>
      <c r="J205" s="3"/>
      <c r="K205" s="3"/>
      <c r="L205" s="3"/>
      <c r="M205" s="3"/>
      <c r="N205" s="3"/>
      <c r="O205" s="4"/>
      <c r="P205" s="3"/>
      <c r="Q205" s="3"/>
      <c r="R205" s="3"/>
      <c r="S205" s="3"/>
      <c r="T205" s="3"/>
      <c r="U205" s="16"/>
      <c r="V205" s="3"/>
      <c r="X205" s="19">
        <v>0</v>
      </c>
    </row>
    <row r="206" spans="2:24" x14ac:dyDescent="0.3">
      <c r="B206" s="16"/>
      <c r="C206" s="3"/>
      <c r="D206" s="3"/>
      <c r="E206" s="3"/>
      <c r="F206" s="46"/>
      <c r="G206" s="3"/>
      <c r="H206" s="3"/>
      <c r="I206" s="3"/>
      <c r="J206" s="3"/>
      <c r="K206" s="3"/>
      <c r="L206" s="3"/>
      <c r="M206" s="3"/>
      <c r="N206" s="3"/>
      <c r="O206" s="4"/>
      <c r="P206" s="3"/>
      <c r="Q206" s="3"/>
      <c r="R206" s="3"/>
      <c r="S206" s="3"/>
      <c r="T206" s="3"/>
      <c r="U206" s="16"/>
      <c r="V206" s="3"/>
      <c r="X206" s="19">
        <v>0</v>
      </c>
    </row>
    <row r="207" spans="2:24" x14ac:dyDescent="0.3">
      <c r="B207" s="16"/>
      <c r="C207" s="3"/>
      <c r="D207" s="3"/>
      <c r="E207" s="3"/>
      <c r="F207" s="46"/>
      <c r="G207" s="3"/>
      <c r="H207" s="3"/>
      <c r="I207" s="3"/>
      <c r="J207" s="3"/>
      <c r="K207" s="3"/>
      <c r="L207" s="3"/>
      <c r="M207" s="3"/>
      <c r="N207" s="3"/>
      <c r="O207" s="4"/>
      <c r="P207" s="3"/>
      <c r="Q207" s="3"/>
      <c r="R207" s="3"/>
      <c r="S207" s="3"/>
      <c r="T207" s="3"/>
      <c r="U207" s="16"/>
      <c r="V207" s="3"/>
      <c r="X207" s="19">
        <v>0</v>
      </c>
    </row>
    <row r="208" spans="2:24" x14ac:dyDescent="0.3">
      <c r="B208" s="16"/>
      <c r="C208" s="3"/>
      <c r="D208" s="3"/>
      <c r="E208" s="3"/>
      <c r="F208" s="46"/>
      <c r="G208" s="3"/>
      <c r="H208" s="3"/>
      <c r="I208" s="3"/>
      <c r="J208" s="3"/>
      <c r="K208" s="3"/>
      <c r="L208" s="3"/>
      <c r="M208" s="3"/>
      <c r="N208" s="3"/>
      <c r="O208" s="4"/>
      <c r="P208" s="3"/>
      <c r="Q208" s="3"/>
      <c r="R208" s="3"/>
      <c r="S208" s="3"/>
      <c r="T208" s="3"/>
      <c r="U208" s="16"/>
      <c r="V208" s="3"/>
      <c r="X208" s="19">
        <v>0</v>
      </c>
    </row>
    <row r="209" spans="2:24" x14ac:dyDescent="0.3">
      <c r="B209" s="16"/>
      <c r="C209" s="3"/>
      <c r="D209" s="3"/>
      <c r="E209" s="3"/>
      <c r="F209" s="46"/>
      <c r="G209" s="3"/>
      <c r="H209" s="3"/>
      <c r="I209" s="3"/>
      <c r="J209" s="3"/>
      <c r="K209" s="3"/>
      <c r="L209" s="3"/>
      <c r="M209" s="3"/>
      <c r="N209" s="3"/>
      <c r="O209" s="4"/>
      <c r="P209" s="3"/>
      <c r="Q209" s="3"/>
      <c r="R209" s="3"/>
      <c r="S209" s="3"/>
      <c r="T209" s="3"/>
      <c r="U209" s="16"/>
      <c r="V209" s="3"/>
      <c r="X209" s="19">
        <v>0</v>
      </c>
    </row>
    <row r="210" spans="2:24" x14ac:dyDescent="0.3">
      <c r="B210" s="16"/>
      <c r="C210" s="3"/>
      <c r="D210" s="3"/>
      <c r="E210" s="3"/>
      <c r="F210" s="46"/>
      <c r="G210" s="3"/>
      <c r="H210" s="3"/>
      <c r="I210" s="3"/>
      <c r="J210" s="3"/>
      <c r="K210" s="3"/>
      <c r="L210" s="3"/>
      <c r="M210" s="3"/>
      <c r="N210" s="3"/>
      <c r="O210" s="4"/>
      <c r="P210" s="3"/>
      <c r="Q210" s="3"/>
      <c r="R210" s="3"/>
      <c r="S210" s="3"/>
      <c r="T210" s="3"/>
      <c r="U210" s="16"/>
      <c r="V210" s="3"/>
      <c r="X210" s="19">
        <v>0</v>
      </c>
    </row>
    <row r="211" spans="2:24" x14ac:dyDescent="0.3">
      <c r="B211" s="16"/>
      <c r="C211" s="3"/>
      <c r="D211" s="3"/>
      <c r="E211" s="3"/>
      <c r="F211" s="46"/>
      <c r="G211" s="3"/>
      <c r="H211" s="3"/>
      <c r="I211" s="3"/>
      <c r="J211" s="3"/>
      <c r="K211" s="3"/>
      <c r="L211" s="3"/>
      <c r="M211" s="3"/>
      <c r="N211" s="3"/>
      <c r="O211" s="4"/>
      <c r="P211" s="3"/>
      <c r="Q211" s="3"/>
      <c r="R211" s="3"/>
      <c r="S211" s="3"/>
      <c r="T211" s="3"/>
      <c r="U211" s="16"/>
      <c r="V211" s="3"/>
      <c r="X211" s="19">
        <v>0</v>
      </c>
    </row>
    <row r="212" spans="2:24" x14ac:dyDescent="0.3">
      <c r="B212" s="16"/>
      <c r="C212" s="3"/>
      <c r="D212" s="3"/>
      <c r="E212" s="3"/>
      <c r="F212" s="46"/>
      <c r="G212" s="3"/>
      <c r="H212" s="3"/>
      <c r="I212" s="3"/>
      <c r="J212" s="3"/>
      <c r="K212" s="3"/>
      <c r="L212" s="3"/>
      <c r="M212" s="3"/>
      <c r="N212" s="3"/>
      <c r="O212" s="4"/>
      <c r="P212" s="3"/>
      <c r="Q212" s="3"/>
      <c r="R212" s="3"/>
      <c r="S212" s="3"/>
      <c r="T212" s="3"/>
      <c r="U212" s="16"/>
      <c r="V212" s="3"/>
      <c r="X212" s="19">
        <v>0</v>
      </c>
    </row>
    <row r="213" spans="2:24" x14ac:dyDescent="0.3">
      <c r="B213" s="16"/>
      <c r="C213" s="3"/>
      <c r="D213" s="3"/>
      <c r="E213" s="3"/>
      <c r="F213" s="46"/>
      <c r="G213" s="3"/>
      <c r="H213" s="3"/>
      <c r="I213" s="3"/>
      <c r="J213" s="3"/>
      <c r="K213" s="3"/>
      <c r="L213" s="3"/>
      <c r="M213" s="3"/>
      <c r="N213" s="3"/>
      <c r="O213" s="4"/>
      <c r="P213" s="3"/>
      <c r="Q213" s="3"/>
      <c r="R213" s="3"/>
      <c r="S213" s="3"/>
      <c r="T213" s="3"/>
      <c r="U213" s="16"/>
      <c r="V213" s="3"/>
      <c r="X213" s="19">
        <v>0</v>
      </c>
    </row>
    <row r="214" spans="2:24" x14ac:dyDescent="0.3">
      <c r="B214" s="16"/>
      <c r="C214" s="3"/>
      <c r="D214" s="3"/>
      <c r="E214" s="3"/>
      <c r="F214" s="46"/>
      <c r="G214" s="3"/>
      <c r="H214" s="3"/>
      <c r="I214" s="3"/>
      <c r="J214" s="3"/>
      <c r="K214" s="3"/>
      <c r="L214" s="3"/>
      <c r="M214" s="3"/>
      <c r="N214" s="3"/>
      <c r="O214" s="4"/>
      <c r="P214" s="3"/>
      <c r="Q214" s="3"/>
      <c r="R214" s="3"/>
      <c r="S214" s="3"/>
      <c r="T214" s="3"/>
      <c r="U214" s="16"/>
      <c r="V214" s="3"/>
      <c r="X214" s="19">
        <v>0</v>
      </c>
    </row>
    <row r="215" spans="2:24" x14ac:dyDescent="0.3">
      <c r="B215" s="16"/>
      <c r="C215" s="3"/>
      <c r="D215" s="3"/>
      <c r="E215" s="3"/>
      <c r="F215" s="46"/>
      <c r="G215" s="3"/>
      <c r="H215" s="3"/>
      <c r="I215" s="3"/>
      <c r="J215" s="3"/>
      <c r="K215" s="3"/>
      <c r="L215" s="3"/>
      <c r="M215" s="3"/>
      <c r="N215" s="3"/>
      <c r="O215" s="4"/>
      <c r="P215" s="3"/>
      <c r="Q215" s="3"/>
      <c r="R215" s="3"/>
      <c r="S215" s="3"/>
      <c r="T215" s="3"/>
      <c r="U215" s="16"/>
      <c r="V215" s="3"/>
      <c r="X215" s="19">
        <v>0</v>
      </c>
    </row>
    <row r="216" spans="2:24" x14ac:dyDescent="0.3">
      <c r="B216" s="16"/>
      <c r="C216" s="3"/>
      <c r="D216" s="3"/>
      <c r="E216" s="3"/>
      <c r="F216" s="46"/>
      <c r="G216" s="3"/>
      <c r="H216" s="3"/>
      <c r="I216" s="3"/>
      <c r="J216" s="3"/>
      <c r="K216" s="3"/>
      <c r="L216" s="3"/>
      <c r="M216" s="3"/>
      <c r="N216" s="3"/>
      <c r="O216" s="4"/>
      <c r="P216" s="3"/>
      <c r="Q216" s="3"/>
      <c r="R216" s="3"/>
      <c r="S216" s="3"/>
      <c r="T216" s="3"/>
      <c r="U216" s="16"/>
      <c r="V216" s="3"/>
      <c r="X216" s="19">
        <v>0</v>
      </c>
    </row>
    <row r="217" spans="2:24" x14ac:dyDescent="0.3">
      <c r="B217" s="16"/>
      <c r="C217" s="3"/>
      <c r="D217" s="3"/>
      <c r="E217" s="3"/>
      <c r="F217" s="46"/>
      <c r="G217" s="3"/>
      <c r="H217" s="3"/>
      <c r="I217" s="3"/>
      <c r="J217" s="3"/>
      <c r="K217" s="3"/>
      <c r="L217" s="3"/>
      <c r="M217" s="3"/>
      <c r="N217" s="3"/>
      <c r="O217" s="4"/>
      <c r="P217" s="3"/>
      <c r="Q217" s="3"/>
      <c r="R217" s="3"/>
      <c r="S217" s="3"/>
      <c r="T217" s="3"/>
      <c r="U217" s="16"/>
      <c r="V217" s="3"/>
      <c r="X217" s="19">
        <v>0</v>
      </c>
    </row>
    <row r="218" spans="2:24" x14ac:dyDescent="0.3">
      <c r="B218" s="16"/>
      <c r="C218" s="3"/>
      <c r="D218" s="3"/>
      <c r="E218" s="3"/>
      <c r="F218" s="46"/>
      <c r="G218" s="3"/>
      <c r="H218" s="3"/>
      <c r="I218" s="3"/>
      <c r="J218" s="3"/>
      <c r="K218" s="3"/>
      <c r="L218" s="3"/>
      <c r="M218" s="3"/>
      <c r="N218" s="3"/>
      <c r="O218" s="4"/>
      <c r="P218" s="3"/>
      <c r="Q218" s="3"/>
      <c r="R218" s="3"/>
      <c r="S218" s="3"/>
      <c r="T218" s="3"/>
      <c r="U218" s="16"/>
      <c r="V218" s="3"/>
      <c r="X218" s="19">
        <v>0</v>
      </c>
    </row>
    <row r="219" spans="2:24" x14ac:dyDescent="0.3">
      <c r="B219" s="16"/>
      <c r="C219" s="3"/>
      <c r="D219" s="3"/>
      <c r="E219" s="3"/>
      <c r="F219" s="46"/>
      <c r="G219" s="3"/>
      <c r="H219" s="3"/>
      <c r="I219" s="3"/>
      <c r="J219" s="3"/>
      <c r="K219" s="3"/>
      <c r="L219" s="3"/>
      <c r="M219" s="3"/>
      <c r="N219" s="3"/>
      <c r="O219" s="4"/>
      <c r="P219" s="3"/>
      <c r="Q219" s="3"/>
      <c r="R219" s="3"/>
      <c r="S219" s="3"/>
      <c r="T219" s="3"/>
      <c r="U219" s="16"/>
      <c r="V219" s="3"/>
      <c r="X219" s="19">
        <v>0</v>
      </c>
    </row>
    <row r="220" spans="2:24" x14ac:dyDescent="0.3">
      <c r="B220" s="16"/>
      <c r="C220" s="3"/>
      <c r="D220" s="3"/>
      <c r="E220" s="3"/>
      <c r="F220" s="46"/>
      <c r="G220" s="3"/>
      <c r="H220" s="3"/>
      <c r="I220" s="3"/>
      <c r="J220" s="3"/>
      <c r="K220" s="3"/>
      <c r="L220" s="3"/>
      <c r="M220" s="3"/>
      <c r="N220" s="3"/>
      <c r="O220" s="4"/>
      <c r="P220" s="3"/>
      <c r="Q220" s="3"/>
      <c r="R220" s="3"/>
      <c r="S220" s="3"/>
      <c r="T220" s="3"/>
      <c r="U220" s="16"/>
      <c r="V220" s="3"/>
      <c r="X220" s="19">
        <v>0</v>
      </c>
    </row>
    <row r="221" spans="2:24" x14ac:dyDescent="0.3">
      <c r="B221" s="16"/>
      <c r="C221" s="3"/>
      <c r="D221" s="3"/>
      <c r="E221" s="3"/>
      <c r="F221" s="46"/>
      <c r="G221" s="3"/>
      <c r="H221" s="3"/>
      <c r="I221" s="3"/>
      <c r="J221" s="3"/>
      <c r="K221" s="3"/>
      <c r="L221" s="3"/>
      <c r="M221" s="3"/>
      <c r="N221" s="3"/>
      <c r="O221" s="4"/>
      <c r="P221" s="3"/>
      <c r="Q221" s="3"/>
      <c r="R221" s="3"/>
      <c r="S221" s="3"/>
      <c r="T221" s="3"/>
      <c r="U221" s="16"/>
      <c r="V221" s="3"/>
      <c r="X221" s="19">
        <v>0</v>
      </c>
    </row>
    <row r="222" spans="2:24" x14ac:dyDescent="0.3">
      <c r="B222" s="16"/>
      <c r="C222" s="3"/>
      <c r="D222" s="3"/>
      <c r="E222" s="3"/>
      <c r="F222" s="46"/>
      <c r="G222" s="3"/>
      <c r="H222" s="3"/>
      <c r="I222" s="3"/>
      <c r="J222" s="3"/>
      <c r="K222" s="3"/>
      <c r="L222" s="3"/>
      <c r="M222" s="3"/>
      <c r="N222" s="3"/>
      <c r="O222" s="4"/>
      <c r="P222" s="3"/>
      <c r="Q222" s="3"/>
      <c r="R222" s="3"/>
      <c r="S222" s="3"/>
      <c r="T222" s="3"/>
      <c r="U222" s="16"/>
      <c r="V222" s="3"/>
      <c r="X222" s="19">
        <v>0</v>
      </c>
    </row>
    <row r="223" spans="2:24" x14ac:dyDescent="0.3">
      <c r="B223" s="16"/>
      <c r="C223" s="3"/>
      <c r="D223" s="3"/>
      <c r="E223" s="3"/>
      <c r="F223" s="46"/>
      <c r="G223" s="3"/>
      <c r="H223" s="3"/>
      <c r="I223" s="3"/>
      <c r="J223" s="3"/>
      <c r="K223" s="3"/>
      <c r="L223" s="3"/>
      <c r="M223" s="3"/>
      <c r="N223" s="3"/>
      <c r="O223" s="4"/>
      <c r="P223" s="3"/>
      <c r="Q223" s="3"/>
      <c r="R223" s="3"/>
      <c r="S223" s="3"/>
      <c r="T223" s="3"/>
      <c r="U223" s="16"/>
      <c r="V223" s="3"/>
      <c r="X223" s="19">
        <v>0</v>
      </c>
    </row>
    <row r="224" spans="2:24" x14ac:dyDescent="0.3">
      <c r="B224" s="16"/>
      <c r="C224" s="3"/>
      <c r="D224" s="3"/>
      <c r="E224" s="3"/>
      <c r="F224" s="46"/>
      <c r="G224" s="3"/>
      <c r="H224" s="3"/>
      <c r="I224" s="3"/>
      <c r="J224" s="3"/>
      <c r="K224" s="3"/>
      <c r="L224" s="3"/>
      <c r="M224" s="3"/>
      <c r="N224" s="3"/>
      <c r="O224" s="4"/>
      <c r="P224" s="3"/>
      <c r="Q224" s="3"/>
      <c r="R224" s="3"/>
      <c r="S224" s="3"/>
      <c r="T224" s="3"/>
      <c r="U224" s="16"/>
      <c r="V224" s="3"/>
      <c r="X224" s="19">
        <v>0</v>
      </c>
    </row>
    <row r="225" spans="2:24" x14ac:dyDescent="0.3">
      <c r="B225" s="16"/>
      <c r="C225" s="3"/>
      <c r="D225" s="3"/>
      <c r="E225" s="3"/>
      <c r="F225" s="46"/>
      <c r="G225" s="3"/>
      <c r="H225" s="3"/>
      <c r="I225" s="3"/>
      <c r="J225" s="3"/>
      <c r="K225" s="3"/>
      <c r="L225" s="3"/>
      <c r="M225" s="3"/>
      <c r="N225" s="3"/>
      <c r="O225" s="4"/>
      <c r="P225" s="3"/>
      <c r="Q225" s="3"/>
      <c r="R225" s="3"/>
      <c r="S225" s="3"/>
      <c r="T225" s="3"/>
      <c r="U225" s="16"/>
      <c r="V225" s="3"/>
      <c r="X225" s="19">
        <v>0</v>
      </c>
    </row>
    <row r="226" spans="2:24" x14ac:dyDescent="0.3">
      <c r="B226" s="16"/>
      <c r="C226" s="3"/>
      <c r="D226" s="3"/>
      <c r="E226" s="3"/>
      <c r="F226" s="46"/>
      <c r="G226" s="3"/>
      <c r="H226" s="3"/>
      <c r="I226" s="3"/>
      <c r="J226" s="3"/>
      <c r="K226" s="3"/>
      <c r="L226" s="3"/>
      <c r="M226" s="3"/>
      <c r="N226" s="3"/>
      <c r="O226" s="4"/>
      <c r="P226" s="3"/>
      <c r="Q226" s="3"/>
      <c r="R226" s="3"/>
      <c r="S226" s="3"/>
      <c r="T226" s="3"/>
      <c r="U226" s="16"/>
      <c r="V226" s="3"/>
      <c r="X226" s="19">
        <v>0</v>
      </c>
    </row>
    <row r="227" spans="2:24" x14ac:dyDescent="0.3">
      <c r="B227" s="16"/>
      <c r="C227" s="3"/>
      <c r="D227" s="3"/>
      <c r="E227" s="3"/>
      <c r="F227" s="46"/>
      <c r="G227" s="3"/>
      <c r="H227" s="3"/>
      <c r="I227" s="3"/>
      <c r="J227" s="3"/>
      <c r="K227" s="3"/>
      <c r="L227" s="3"/>
      <c r="M227" s="3"/>
      <c r="N227" s="3"/>
      <c r="O227" s="4"/>
      <c r="P227" s="3"/>
      <c r="Q227" s="3"/>
      <c r="R227" s="3"/>
      <c r="S227" s="3"/>
      <c r="T227" s="3"/>
      <c r="U227" s="16"/>
      <c r="V227" s="3"/>
      <c r="X227" s="19">
        <v>0</v>
      </c>
    </row>
    <row r="228" spans="2:24" x14ac:dyDescent="0.3">
      <c r="B228" s="16"/>
      <c r="C228" s="3"/>
      <c r="D228" s="3"/>
      <c r="E228" s="3"/>
      <c r="F228" s="46"/>
      <c r="G228" s="3"/>
      <c r="H228" s="3"/>
      <c r="I228" s="3"/>
      <c r="J228" s="3"/>
      <c r="K228" s="3"/>
      <c r="L228" s="3"/>
      <c r="M228" s="3"/>
      <c r="N228" s="3"/>
      <c r="O228" s="4"/>
      <c r="P228" s="3"/>
      <c r="Q228" s="3"/>
      <c r="R228" s="3"/>
      <c r="S228" s="3"/>
      <c r="T228" s="3"/>
      <c r="U228" s="16"/>
      <c r="V228" s="3"/>
      <c r="X228" s="19">
        <v>0</v>
      </c>
    </row>
    <row r="229" spans="2:24" x14ac:dyDescent="0.3">
      <c r="B229" s="16"/>
      <c r="C229" s="3"/>
      <c r="D229" s="3"/>
      <c r="E229" s="3"/>
      <c r="F229" s="46"/>
      <c r="G229" s="3"/>
      <c r="H229" s="3"/>
      <c r="I229" s="3"/>
      <c r="J229" s="3"/>
      <c r="K229" s="3"/>
      <c r="L229" s="3"/>
      <c r="M229" s="3"/>
      <c r="N229" s="3"/>
      <c r="O229" s="4"/>
      <c r="P229" s="3"/>
      <c r="Q229" s="3"/>
      <c r="R229" s="3"/>
      <c r="S229" s="3"/>
      <c r="T229" s="3"/>
      <c r="U229" s="16"/>
      <c r="V229" s="3"/>
      <c r="X229" s="19">
        <v>0</v>
      </c>
    </row>
    <row r="230" spans="2:24" x14ac:dyDescent="0.3">
      <c r="B230" s="16"/>
      <c r="C230" s="3"/>
      <c r="D230" s="3"/>
      <c r="E230" s="3"/>
      <c r="F230" s="46"/>
      <c r="G230" s="3"/>
      <c r="H230" s="3"/>
      <c r="I230" s="3"/>
      <c r="J230" s="3"/>
      <c r="K230" s="3"/>
      <c r="L230" s="3"/>
      <c r="M230" s="3"/>
      <c r="N230" s="3"/>
      <c r="O230" s="4"/>
      <c r="P230" s="3"/>
      <c r="Q230" s="3"/>
      <c r="R230" s="3"/>
      <c r="S230" s="3"/>
      <c r="T230" s="3"/>
      <c r="U230" s="16"/>
      <c r="V230" s="3"/>
      <c r="X230" s="19">
        <v>0</v>
      </c>
    </row>
    <row r="231" spans="2:24" x14ac:dyDescent="0.3">
      <c r="B231" s="16"/>
      <c r="C231" s="3"/>
      <c r="D231" s="3"/>
      <c r="E231" s="3"/>
      <c r="F231" s="46"/>
      <c r="G231" s="3"/>
      <c r="H231" s="3"/>
      <c r="I231" s="3"/>
      <c r="J231" s="3"/>
      <c r="K231" s="3"/>
      <c r="L231" s="3"/>
      <c r="M231" s="3"/>
      <c r="N231" s="3"/>
      <c r="O231" s="4"/>
      <c r="P231" s="3"/>
      <c r="Q231" s="3"/>
      <c r="R231" s="3"/>
      <c r="S231" s="3"/>
      <c r="T231" s="3"/>
      <c r="U231" s="16"/>
      <c r="V231" s="3"/>
      <c r="X231" s="19">
        <v>0</v>
      </c>
    </row>
    <row r="232" spans="2:24" x14ac:dyDescent="0.3">
      <c r="B232" s="16"/>
      <c r="C232" s="3"/>
      <c r="D232" s="3"/>
      <c r="E232" s="3"/>
      <c r="F232" s="46"/>
      <c r="G232" s="3"/>
      <c r="H232" s="3"/>
      <c r="I232" s="3"/>
      <c r="J232" s="3"/>
      <c r="K232" s="3"/>
      <c r="L232" s="3"/>
      <c r="M232" s="3"/>
      <c r="N232" s="3"/>
      <c r="O232" s="4"/>
      <c r="P232" s="3"/>
      <c r="Q232" s="3"/>
      <c r="R232" s="3"/>
      <c r="S232" s="3"/>
      <c r="T232" s="3"/>
      <c r="U232" s="16"/>
      <c r="V232" s="3"/>
      <c r="X232" s="19">
        <v>0</v>
      </c>
    </row>
    <row r="233" spans="2:24" x14ac:dyDescent="0.3">
      <c r="B233" s="16"/>
      <c r="C233" s="3"/>
      <c r="D233" s="3"/>
      <c r="E233" s="3"/>
      <c r="F233" s="46"/>
      <c r="G233" s="3"/>
      <c r="H233" s="3"/>
      <c r="I233" s="3"/>
      <c r="J233" s="3"/>
      <c r="K233" s="3"/>
      <c r="L233" s="3"/>
      <c r="M233" s="3"/>
      <c r="N233" s="3"/>
      <c r="O233" s="4"/>
      <c r="P233" s="3"/>
      <c r="Q233" s="3"/>
      <c r="R233" s="3"/>
      <c r="S233" s="3"/>
      <c r="T233" s="3"/>
      <c r="U233" s="16"/>
      <c r="V233" s="3"/>
      <c r="X233" s="19">
        <v>0</v>
      </c>
    </row>
    <row r="234" spans="2:24" x14ac:dyDescent="0.3">
      <c r="B234" s="16"/>
      <c r="C234" s="3"/>
      <c r="D234" s="3"/>
      <c r="E234" s="3"/>
      <c r="F234" s="46"/>
      <c r="G234" s="3"/>
      <c r="H234" s="3"/>
      <c r="I234" s="3"/>
      <c r="J234" s="3"/>
      <c r="K234" s="3"/>
      <c r="L234" s="3"/>
      <c r="M234" s="3"/>
      <c r="N234" s="3"/>
      <c r="O234" s="4"/>
      <c r="P234" s="3"/>
      <c r="Q234" s="3"/>
      <c r="R234" s="3"/>
      <c r="S234" s="3"/>
      <c r="T234" s="3"/>
      <c r="U234" s="16"/>
      <c r="V234" s="3"/>
      <c r="X234" s="19">
        <v>0</v>
      </c>
    </row>
    <row r="235" spans="2:24" x14ac:dyDescent="0.3">
      <c r="B235" s="16"/>
      <c r="C235" s="3"/>
      <c r="D235" s="3"/>
      <c r="E235" s="3"/>
      <c r="F235" s="46"/>
      <c r="G235" s="3"/>
      <c r="H235" s="3"/>
      <c r="I235" s="3"/>
      <c r="J235" s="3"/>
      <c r="K235" s="3"/>
      <c r="L235" s="3"/>
      <c r="M235" s="3"/>
      <c r="N235" s="3"/>
      <c r="O235" s="4"/>
      <c r="P235" s="3"/>
      <c r="Q235" s="3"/>
      <c r="R235" s="3"/>
      <c r="S235" s="3"/>
      <c r="T235" s="3"/>
      <c r="U235" s="16"/>
      <c r="V235" s="3"/>
      <c r="X235" s="19">
        <v>0</v>
      </c>
    </row>
    <row r="236" spans="2:24" x14ac:dyDescent="0.3">
      <c r="B236" s="16"/>
      <c r="C236" s="3"/>
      <c r="D236" s="3"/>
      <c r="E236" s="3"/>
      <c r="F236" s="46"/>
      <c r="G236" s="3"/>
      <c r="H236" s="3"/>
      <c r="I236" s="3"/>
      <c r="J236" s="3"/>
      <c r="K236" s="3"/>
      <c r="L236" s="3"/>
      <c r="M236" s="3"/>
      <c r="N236" s="3"/>
      <c r="O236" s="4"/>
      <c r="P236" s="3"/>
      <c r="Q236" s="3"/>
      <c r="R236" s="3"/>
      <c r="S236" s="3"/>
      <c r="T236" s="3"/>
      <c r="U236" s="16"/>
      <c r="V236" s="3"/>
      <c r="X236" s="19">
        <v>0</v>
      </c>
    </row>
    <row r="237" spans="2:24" x14ac:dyDescent="0.3">
      <c r="B237" s="16"/>
      <c r="C237" s="3"/>
      <c r="D237" s="3"/>
      <c r="E237" s="3"/>
      <c r="F237" s="46"/>
      <c r="G237" s="3"/>
      <c r="H237" s="3"/>
      <c r="I237" s="3"/>
      <c r="J237" s="3"/>
      <c r="K237" s="3"/>
      <c r="L237" s="3"/>
      <c r="M237" s="3"/>
      <c r="N237" s="3"/>
      <c r="O237" s="4"/>
      <c r="P237" s="3"/>
      <c r="Q237" s="3"/>
      <c r="R237" s="3"/>
      <c r="S237" s="3"/>
      <c r="T237" s="3"/>
      <c r="U237" s="16"/>
      <c r="V237" s="3"/>
      <c r="X237" s="19">
        <v>0</v>
      </c>
    </row>
    <row r="238" spans="2:24" x14ac:dyDescent="0.3">
      <c r="B238" s="16"/>
      <c r="C238" s="3"/>
      <c r="D238" s="3"/>
      <c r="E238" s="3"/>
      <c r="F238" s="46"/>
      <c r="G238" s="3"/>
      <c r="H238" s="3"/>
      <c r="I238" s="3"/>
      <c r="J238" s="3"/>
      <c r="K238" s="3"/>
      <c r="L238" s="3"/>
      <c r="M238" s="3"/>
      <c r="N238" s="3"/>
      <c r="O238" s="4"/>
      <c r="P238" s="3"/>
      <c r="Q238" s="3"/>
      <c r="R238" s="3"/>
      <c r="S238" s="3"/>
      <c r="T238" s="3"/>
      <c r="U238" s="16"/>
      <c r="V238" s="3"/>
      <c r="X238" s="19">
        <v>0</v>
      </c>
    </row>
    <row r="239" spans="2:24" x14ac:dyDescent="0.3">
      <c r="B239" s="16"/>
      <c r="C239" s="3"/>
      <c r="D239" s="3"/>
      <c r="E239" s="3"/>
      <c r="F239" s="46"/>
      <c r="G239" s="3"/>
      <c r="H239" s="3"/>
      <c r="I239" s="3"/>
      <c r="J239" s="3"/>
      <c r="K239" s="3"/>
      <c r="L239" s="3"/>
      <c r="M239" s="3"/>
      <c r="N239" s="3"/>
      <c r="O239" s="4"/>
      <c r="P239" s="3"/>
      <c r="Q239" s="3"/>
      <c r="R239" s="3"/>
      <c r="S239" s="3"/>
      <c r="T239" s="3"/>
      <c r="U239" s="16"/>
      <c r="V239" s="3"/>
      <c r="X239" s="19">
        <v>0</v>
      </c>
    </row>
    <row r="240" spans="2:24" x14ac:dyDescent="0.3">
      <c r="B240" s="16"/>
      <c r="C240" s="3"/>
      <c r="D240" s="3"/>
      <c r="E240" s="3"/>
      <c r="F240" s="46"/>
      <c r="G240" s="3"/>
      <c r="H240" s="3"/>
      <c r="I240" s="3"/>
      <c r="J240" s="3"/>
      <c r="K240" s="3"/>
      <c r="L240" s="3"/>
      <c r="M240" s="3"/>
      <c r="N240" s="3"/>
      <c r="O240" s="4"/>
      <c r="P240" s="3"/>
      <c r="Q240" s="3"/>
      <c r="R240" s="3"/>
      <c r="S240" s="3"/>
      <c r="T240" s="3"/>
      <c r="U240" s="16"/>
      <c r="V240" s="3"/>
      <c r="X240" s="19">
        <v>0</v>
      </c>
    </row>
    <row r="241" spans="2:24" x14ac:dyDescent="0.3">
      <c r="B241" s="16"/>
      <c r="C241" s="3"/>
      <c r="D241" s="3"/>
      <c r="E241" s="3"/>
      <c r="F241" s="46"/>
      <c r="G241" s="3"/>
      <c r="H241" s="3"/>
      <c r="I241" s="3"/>
      <c r="J241" s="3"/>
      <c r="K241" s="3"/>
      <c r="L241" s="3"/>
      <c r="M241" s="3"/>
      <c r="N241" s="3"/>
      <c r="O241" s="4"/>
      <c r="P241" s="3"/>
      <c r="Q241" s="3"/>
      <c r="R241" s="3"/>
      <c r="S241" s="3"/>
      <c r="T241" s="3"/>
      <c r="U241" s="16"/>
      <c r="V241" s="3"/>
      <c r="X241" s="19">
        <v>0</v>
      </c>
    </row>
    <row r="242" spans="2:24" x14ac:dyDescent="0.3">
      <c r="B242" s="16"/>
      <c r="C242" s="3"/>
      <c r="D242" s="3"/>
      <c r="E242" s="3"/>
      <c r="F242" s="46"/>
      <c r="G242" s="3"/>
      <c r="H242" s="3"/>
      <c r="I242" s="3"/>
      <c r="J242" s="3"/>
      <c r="K242" s="3"/>
      <c r="L242" s="3"/>
      <c r="M242" s="3"/>
      <c r="N242" s="3"/>
      <c r="O242" s="4"/>
      <c r="P242" s="3"/>
      <c r="Q242" s="3"/>
      <c r="R242" s="3"/>
      <c r="S242" s="3"/>
      <c r="T242" s="3"/>
      <c r="U242" s="16"/>
      <c r="V242" s="3"/>
      <c r="X242" s="19">
        <v>0</v>
      </c>
    </row>
    <row r="243" spans="2:24" x14ac:dyDescent="0.3">
      <c r="B243" s="16"/>
      <c r="C243" s="3"/>
      <c r="D243" s="3"/>
      <c r="E243" s="3"/>
      <c r="F243" s="46"/>
      <c r="G243" s="3"/>
      <c r="H243" s="3"/>
      <c r="I243" s="3"/>
      <c r="J243" s="3"/>
      <c r="K243" s="3"/>
      <c r="L243" s="3"/>
      <c r="M243" s="3"/>
      <c r="N243" s="3"/>
      <c r="O243" s="4"/>
      <c r="P243" s="3"/>
      <c r="Q243" s="3"/>
      <c r="R243" s="3"/>
      <c r="S243" s="3"/>
      <c r="T243" s="3"/>
      <c r="U243" s="16"/>
      <c r="V243" s="3"/>
      <c r="X243" s="19">
        <v>0</v>
      </c>
    </row>
    <row r="244" spans="2:24" x14ac:dyDescent="0.3">
      <c r="B244" s="16"/>
      <c r="C244" s="3"/>
      <c r="D244" s="3"/>
      <c r="E244" s="3"/>
      <c r="F244" s="46"/>
      <c r="G244" s="3"/>
      <c r="H244" s="3"/>
      <c r="I244" s="3"/>
      <c r="J244" s="3"/>
      <c r="K244" s="3"/>
      <c r="L244" s="3"/>
      <c r="M244" s="3"/>
      <c r="N244" s="3"/>
      <c r="O244" s="4"/>
      <c r="P244" s="3"/>
      <c r="Q244" s="3"/>
      <c r="R244" s="3"/>
      <c r="S244" s="3"/>
      <c r="T244" s="3"/>
      <c r="U244" s="16"/>
      <c r="V244" s="3"/>
      <c r="X244" s="19">
        <v>0</v>
      </c>
    </row>
    <row r="245" spans="2:24" x14ac:dyDescent="0.3">
      <c r="B245" s="16"/>
      <c r="C245" s="3"/>
      <c r="D245" s="3"/>
      <c r="E245" s="3"/>
      <c r="F245" s="46"/>
      <c r="G245" s="3"/>
      <c r="H245" s="3"/>
      <c r="I245" s="3"/>
      <c r="J245" s="3"/>
      <c r="K245" s="3"/>
      <c r="L245" s="3"/>
      <c r="M245" s="3"/>
      <c r="N245" s="3"/>
      <c r="O245" s="4"/>
      <c r="P245" s="3"/>
      <c r="Q245" s="3"/>
      <c r="R245" s="3"/>
      <c r="S245" s="3"/>
      <c r="T245" s="3"/>
      <c r="U245" s="16"/>
      <c r="V245" s="3"/>
      <c r="X245" s="19">
        <v>0</v>
      </c>
    </row>
    <row r="246" spans="2:24" x14ac:dyDescent="0.3">
      <c r="B246" s="16"/>
      <c r="C246" s="3"/>
      <c r="D246" s="3"/>
      <c r="E246" s="3"/>
      <c r="F246" s="46"/>
      <c r="G246" s="3"/>
      <c r="H246" s="3"/>
      <c r="I246" s="3"/>
      <c r="J246" s="3"/>
      <c r="K246" s="3"/>
      <c r="L246" s="3"/>
      <c r="M246" s="3"/>
      <c r="N246" s="3"/>
      <c r="O246" s="4"/>
      <c r="P246" s="3"/>
      <c r="Q246" s="3"/>
      <c r="R246" s="3"/>
      <c r="S246" s="3"/>
      <c r="T246" s="3"/>
      <c r="U246" s="16"/>
      <c r="V246" s="3"/>
      <c r="X246" s="19">
        <v>0</v>
      </c>
    </row>
    <row r="247" spans="2:24" x14ac:dyDescent="0.3">
      <c r="B247" s="16"/>
      <c r="C247" s="3"/>
      <c r="D247" s="3"/>
      <c r="E247" s="3"/>
      <c r="F247" s="46"/>
      <c r="G247" s="3"/>
      <c r="H247" s="3"/>
      <c r="I247" s="3"/>
      <c r="J247" s="3"/>
      <c r="K247" s="3"/>
      <c r="L247" s="3"/>
      <c r="M247" s="3"/>
      <c r="N247" s="3"/>
      <c r="O247" s="4"/>
      <c r="P247" s="3"/>
      <c r="Q247" s="3"/>
      <c r="R247" s="3"/>
      <c r="S247" s="3"/>
      <c r="T247" s="3"/>
      <c r="U247" s="16"/>
      <c r="V247" s="3"/>
      <c r="X247" s="19">
        <v>0</v>
      </c>
    </row>
    <row r="248" spans="2:24" x14ac:dyDescent="0.3">
      <c r="B248" s="16"/>
      <c r="C248" s="3"/>
      <c r="D248" s="3"/>
      <c r="E248" s="3"/>
      <c r="F248" s="46"/>
      <c r="G248" s="3"/>
      <c r="H248" s="3"/>
      <c r="I248" s="3"/>
      <c r="J248" s="3"/>
      <c r="K248" s="3"/>
      <c r="L248" s="3"/>
      <c r="M248" s="3"/>
      <c r="N248" s="3"/>
      <c r="O248" s="4"/>
      <c r="P248" s="3"/>
      <c r="Q248" s="3"/>
      <c r="R248" s="3"/>
      <c r="S248" s="3"/>
      <c r="T248" s="3"/>
      <c r="U248" s="16"/>
      <c r="V248" s="3"/>
      <c r="X248" s="19">
        <v>0</v>
      </c>
    </row>
    <row r="249" spans="2:24" x14ac:dyDescent="0.3">
      <c r="B249" s="16"/>
      <c r="C249" s="3"/>
      <c r="D249" s="3"/>
      <c r="E249" s="3"/>
      <c r="F249" s="46"/>
      <c r="G249" s="3"/>
      <c r="H249" s="3"/>
      <c r="I249" s="3"/>
      <c r="J249" s="3"/>
      <c r="K249" s="3"/>
      <c r="L249" s="3"/>
      <c r="M249" s="3"/>
      <c r="N249" s="3"/>
      <c r="O249" s="4"/>
      <c r="P249" s="3"/>
      <c r="Q249" s="3"/>
      <c r="R249" s="3"/>
      <c r="S249" s="3"/>
      <c r="T249" s="3"/>
      <c r="U249" s="16"/>
      <c r="V249" s="3"/>
      <c r="X249" s="19">
        <v>0</v>
      </c>
    </row>
    <row r="250" spans="2:24" x14ac:dyDescent="0.3">
      <c r="B250" s="16"/>
      <c r="C250" s="3"/>
      <c r="D250" s="3"/>
      <c r="E250" s="3"/>
      <c r="F250" s="46"/>
      <c r="G250" s="3"/>
      <c r="H250" s="3"/>
      <c r="I250" s="3"/>
      <c r="J250" s="3"/>
      <c r="K250" s="3"/>
      <c r="L250" s="3"/>
      <c r="M250" s="3"/>
      <c r="N250" s="3"/>
      <c r="O250" s="4"/>
      <c r="P250" s="3"/>
      <c r="Q250" s="3"/>
      <c r="R250" s="3"/>
      <c r="S250" s="3"/>
      <c r="T250" s="3"/>
      <c r="U250" s="16"/>
      <c r="V250" s="3"/>
      <c r="X250" s="19">
        <v>0</v>
      </c>
    </row>
    <row r="251" spans="2:24" x14ac:dyDescent="0.3">
      <c r="B251" s="16"/>
      <c r="C251" s="3"/>
      <c r="D251" s="3"/>
      <c r="E251" s="3"/>
      <c r="F251" s="46"/>
      <c r="G251" s="3"/>
      <c r="H251" s="3"/>
      <c r="I251" s="3"/>
      <c r="J251" s="3"/>
      <c r="K251" s="3"/>
      <c r="L251" s="3"/>
      <c r="M251" s="3"/>
      <c r="N251" s="3"/>
      <c r="O251" s="4"/>
      <c r="P251" s="3"/>
      <c r="Q251" s="3"/>
      <c r="R251" s="3"/>
      <c r="S251" s="3"/>
      <c r="T251" s="3"/>
      <c r="U251" s="16"/>
      <c r="V251" s="3"/>
      <c r="X251" s="19">
        <v>0</v>
      </c>
    </row>
    <row r="252" spans="2:24" x14ac:dyDescent="0.3">
      <c r="B252" s="16"/>
      <c r="C252" s="3"/>
      <c r="D252" s="3"/>
      <c r="E252" s="3"/>
      <c r="F252" s="46"/>
      <c r="G252" s="3"/>
      <c r="H252" s="3"/>
      <c r="I252" s="3"/>
      <c r="J252" s="3"/>
      <c r="K252" s="3"/>
      <c r="L252" s="3"/>
      <c r="M252" s="3"/>
      <c r="N252" s="3"/>
      <c r="O252" s="4"/>
      <c r="P252" s="3"/>
      <c r="Q252" s="3"/>
      <c r="R252" s="3"/>
      <c r="S252" s="3"/>
      <c r="T252" s="3"/>
      <c r="U252" s="16"/>
      <c r="V252" s="3"/>
      <c r="X252" s="19">
        <v>0</v>
      </c>
    </row>
    <row r="253" spans="2:24" x14ac:dyDescent="0.3">
      <c r="B253" s="16"/>
      <c r="C253" s="3"/>
      <c r="D253" s="3"/>
      <c r="E253" s="3"/>
      <c r="F253" s="46"/>
      <c r="G253" s="3"/>
      <c r="H253" s="3"/>
      <c r="I253" s="3"/>
      <c r="J253" s="3"/>
      <c r="K253" s="3"/>
      <c r="L253" s="3"/>
      <c r="M253" s="3"/>
      <c r="N253" s="3"/>
      <c r="O253" s="4"/>
      <c r="P253" s="3"/>
      <c r="Q253" s="3"/>
      <c r="R253" s="3"/>
      <c r="S253" s="3"/>
      <c r="T253" s="3"/>
      <c r="U253" s="16"/>
      <c r="V253" s="3"/>
      <c r="X253" s="19">
        <v>0</v>
      </c>
    </row>
    <row r="254" spans="2:24" x14ac:dyDescent="0.3">
      <c r="B254" s="16"/>
      <c r="C254" s="3"/>
      <c r="D254" s="3"/>
      <c r="E254" s="3"/>
      <c r="F254" s="46"/>
      <c r="G254" s="3"/>
      <c r="H254" s="3"/>
      <c r="I254" s="3"/>
      <c r="J254" s="3"/>
      <c r="K254" s="3"/>
      <c r="L254" s="3"/>
      <c r="M254" s="3"/>
      <c r="N254" s="3"/>
      <c r="O254" s="4"/>
      <c r="P254" s="3"/>
      <c r="Q254" s="3"/>
      <c r="R254" s="3"/>
      <c r="S254" s="3"/>
      <c r="T254" s="3"/>
      <c r="U254" s="16"/>
      <c r="V254" s="3"/>
      <c r="X254" s="19">
        <v>0</v>
      </c>
    </row>
    <row r="255" spans="2:24" x14ac:dyDescent="0.3">
      <c r="B255" s="16"/>
      <c r="C255" s="3"/>
      <c r="D255" s="3"/>
      <c r="E255" s="3"/>
      <c r="F255" s="46"/>
      <c r="G255" s="3"/>
      <c r="H255" s="3"/>
      <c r="I255" s="3"/>
      <c r="J255" s="3"/>
      <c r="K255" s="3"/>
      <c r="L255" s="3"/>
      <c r="M255" s="3"/>
      <c r="N255" s="3"/>
      <c r="O255" s="4"/>
      <c r="P255" s="3"/>
      <c r="Q255" s="3"/>
      <c r="R255" s="3"/>
      <c r="S255" s="3"/>
      <c r="T255" s="3"/>
      <c r="U255" s="16"/>
      <c r="V255" s="3"/>
      <c r="X255" s="19">
        <v>0</v>
      </c>
    </row>
    <row r="256" spans="2:24" x14ac:dyDescent="0.3">
      <c r="B256" s="16"/>
      <c r="C256" s="3"/>
      <c r="D256" s="3"/>
      <c r="E256" s="3"/>
      <c r="F256" s="46"/>
      <c r="G256" s="3"/>
      <c r="H256" s="3"/>
      <c r="I256" s="3"/>
      <c r="J256" s="3"/>
      <c r="K256" s="3"/>
      <c r="L256" s="3"/>
      <c r="M256" s="3"/>
      <c r="N256" s="3"/>
      <c r="O256" s="4"/>
      <c r="P256" s="3"/>
      <c r="Q256" s="3"/>
      <c r="R256" s="3"/>
      <c r="S256" s="3"/>
      <c r="T256" s="3"/>
      <c r="U256" s="16"/>
      <c r="V256" s="3"/>
      <c r="X256" s="19">
        <v>0</v>
      </c>
    </row>
    <row r="257" spans="2:24" x14ac:dyDescent="0.3">
      <c r="B257" s="16"/>
      <c r="C257" s="3"/>
      <c r="D257" s="3"/>
      <c r="E257" s="3"/>
      <c r="F257" s="46"/>
      <c r="G257" s="3"/>
      <c r="H257" s="3"/>
      <c r="I257" s="3"/>
      <c r="J257" s="3"/>
      <c r="K257" s="3"/>
      <c r="L257" s="3"/>
      <c r="M257" s="3"/>
      <c r="N257" s="3"/>
      <c r="O257" s="4"/>
      <c r="P257" s="3"/>
      <c r="Q257" s="3"/>
      <c r="R257" s="3"/>
      <c r="S257" s="3"/>
      <c r="T257" s="3"/>
      <c r="U257" s="16"/>
      <c r="V257" s="3"/>
      <c r="X257" s="19">
        <v>0</v>
      </c>
    </row>
    <row r="258" spans="2:24" x14ac:dyDescent="0.3">
      <c r="B258" s="16"/>
      <c r="C258" s="3"/>
      <c r="D258" s="3"/>
      <c r="E258" s="3"/>
      <c r="F258" s="46"/>
      <c r="G258" s="3"/>
      <c r="H258" s="3"/>
      <c r="I258" s="3"/>
      <c r="J258" s="3"/>
      <c r="K258" s="3"/>
      <c r="L258" s="3"/>
      <c r="M258" s="3"/>
      <c r="N258" s="3"/>
      <c r="O258" s="4"/>
      <c r="P258" s="3"/>
      <c r="Q258" s="3"/>
      <c r="R258" s="3"/>
      <c r="S258" s="3"/>
      <c r="T258" s="3"/>
      <c r="U258" s="16"/>
      <c r="V258" s="3"/>
      <c r="X258" s="19">
        <v>0</v>
      </c>
    </row>
    <row r="259" spans="2:24" x14ac:dyDescent="0.3">
      <c r="B259" s="16"/>
      <c r="C259" s="3"/>
      <c r="D259" s="3"/>
      <c r="E259" s="3"/>
      <c r="F259" s="46"/>
      <c r="G259" s="3"/>
      <c r="H259" s="3"/>
      <c r="I259" s="3"/>
      <c r="J259" s="3"/>
      <c r="K259" s="3"/>
      <c r="L259" s="3"/>
      <c r="M259" s="3"/>
      <c r="N259" s="3"/>
      <c r="O259" s="4"/>
      <c r="P259" s="3"/>
      <c r="Q259" s="3"/>
      <c r="R259" s="3"/>
      <c r="S259" s="3"/>
      <c r="T259" s="3"/>
      <c r="U259" s="16"/>
      <c r="V259" s="3"/>
      <c r="X259" s="19">
        <v>0</v>
      </c>
    </row>
    <row r="260" spans="2:24" x14ac:dyDescent="0.3">
      <c r="B260" s="16"/>
      <c r="C260" s="3"/>
      <c r="D260" s="3"/>
      <c r="E260" s="3"/>
      <c r="F260" s="46"/>
      <c r="G260" s="3"/>
      <c r="H260" s="3"/>
      <c r="I260" s="3"/>
      <c r="J260" s="3"/>
      <c r="K260" s="3"/>
      <c r="L260" s="3"/>
      <c r="M260" s="3"/>
      <c r="N260" s="3"/>
      <c r="O260" s="4"/>
      <c r="P260" s="3"/>
      <c r="Q260" s="3"/>
      <c r="R260" s="3"/>
      <c r="S260" s="3"/>
      <c r="T260" s="3"/>
      <c r="U260" s="16"/>
      <c r="V260" s="3"/>
      <c r="X260" s="19">
        <v>0</v>
      </c>
    </row>
    <row r="261" spans="2:24" x14ac:dyDescent="0.3">
      <c r="B261" s="16"/>
      <c r="C261" s="3"/>
      <c r="D261" s="3"/>
      <c r="E261" s="3"/>
      <c r="F261" s="46"/>
      <c r="G261" s="3"/>
      <c r="H261" s="3"/>
      <c r="I261" s="3"/>
      <c r="J261" s="3"/>
      <c r="K261" s="3"/>
      <c r="L261" s="3"/>
      <c r="M261" s="3"/>
      <c r="N261" s="3"/>
      <c r="O261" s="4"/>
      <c r="P261" s="3"/>
      <c r="Q261" s="3"/>
      <c r="R261" s="3"/>
      <c r="S261" s="3"/>
      <c r="T261" s="3"/>
      <c r="U261" s="16"/>
      <c r="V261" s="3"/>
      <c r="X261" s="19">
        <v>0</v>
      </c>
    </row>
    <row r="262" spans="2:24" x14ac:dyDescent="0.3">
      <c r="B262" s="16"/>
      <c r="C262" s="3"/>
      <c r="D262" s="3"/>
      <c r="E262" s="3"/>
      <c r="F262" s="46"/>
      <c r="G262" s="3"/>
      <c r="H262" s="3"/>
      <c r="I262" s="3"/>
      <c r="J262" s="3"/>
      <c r="K262" s="3"/>
      <c r="L262" s="3"/>
      <c r="M262" s="3"/>
      <c r="N262" s="3"/>
      <c r="O262" s="4"/>
      <c r="P262" s="3"/>
      <c r="Q262" s="3"/>
      <c r="R262" s="3"/>
      <c r="S262" s="3"/>
      <c r="T262" s="3"/>
      <c r="U262" s="16"/>
      <c r="V262" s="3"/>
      <c r="X262" s="19">
        <v>0</v>
      </c>
    </row>
    <row r="263" spans="2:24" x14ac:dyDescent="0.3">
      <c r="B263" s="16"/>
      <c r="C263" s="3"/>
      <c r="D263" s="3"/>
      <c r="E263" s="3"/>
      <c r="F263" s="46"/>
      <c r="G263" s="3"/>
      <c r="H263" s="3"/>
      <c r="I263" s="3"/>
      <c r="J263" s="3"/>
      <c r="K263" s="3"/>
      <c r="L263" s="3"/>
      <c r="M263" s="3"/>
      <c r="N263" s="3"/>
      <c r="O263" s="4"/>
      <c r="P263" s="3"/>
      <c r="Q263" s="3"/>
      <c r="R263" s="3"/>
      <c r="S263" s="3"/>
      <c r="T263" s="3"/>
      <c r="U263" s="16"/>
      <c r="V263" s="3"/>
      <c r="X263" s="19">
        <v>0</v>
      </c>
    </row>
    <row r="264" spans="2:24" x14ac:dyDescent="0.3">
      <c r="B264" s="16"/>
      <c r="C264" s="3"/>
      <c r="D264" s="3"/>
      <c r="E264" s="3"/>
      <c r="F264" s="46"/>
      <c r="G264" s="3"/>
      <c r="H264" s="3"/>
      <c r="I264" s="3"/>
      <c r="J264" s="3"/>
      <c r="K264" s="3"/>
      <c r="L264" s="3"/>
      <c r="M264" s="3"/>
      <c r="N264" s="3"/>
      <c r="O264" s="4"/>
      <c r="P264" s="3"/>
      <c r="Q264" s="3"/>
      <c r="R264" s="3"/>
      <c r="S264" s="3"/>
      <c r="T264" s="3"/>
      <c r="U264" s="16"/>
      <c r="V264" s="3"/>
      <c r="X264" s="19">
        <v>0</v>
      </c>
    </row>
    <row r="265" spans="2:24" x14ac:dyDescent="0.3">
      <c r="B265" s="16"/>
      <c r="C265" s="3"/>
      <c r="D265" s="3"/>
      <c r="E265" s="3"/>
      <c r="F265" s="46"/>
      <c r="G265" s="3"/>
      <c r="H265" s="3"/>
      <c r="I265" s="3"/>
      <c r="J265" s="3"/>
      <c r="K265" s="3"/>
      <c r="L265" s="3"/>
      <c r="M265" s="3"/>
      <c r="N265" s="3"/>
      <c r="O265" s="4"/>
      <c r="P265" s="3"/>
      <c r="Q265" s="3"/>
      <c r="R265" s="3"/>
      <c r="S265" s="3"/>
      <c r="T265" s="3"/>
      <c r="U265" s="16"/>
      <c r="V265" s="3"/>
      <c r="X265" s="19">
        <v>0</v>
      </c>
    </row>
    <row r="266" spans="2:24" x14ac:dyDescent="0.3">
      <c r="B266" s="16"/>
      <c r="C266" s="3"/>
      <c r="D266" s="3"/>
      <c r="E266" s="3"/>
      <c r="F266" s="46"/>
      <c r="G266" s="3"/>
      <c r="H266" s="3"/>
      <c r="I266" s="3"/>
      <c r="J266" s="3"/>
      <c r="K266" s="3"/>
      <c r="L266" s="3"/>
      <c r="M266" s="3"/>
      <c r="N266" s="3"/>
      <c r="O266" s="4"/>
      <c r="P266" s="3"/>
      <c r="Q266" s="3"/>
      <c r="R266" s="3"/>
      <c r="S266" s="3"/>
      <c r="T266" s="3"/>
      <c r="U266" s="16"/>
      <c r="V266" s="3"/>
      <c r="X266" s="19">
        <v>0</v>
      </c>
    </row>
    <row r="267" spans="2:24" x14ac:dyDescent="0.3">
      <c r="B267" s="16"/>
      <c r="C267" s="3"/>
      <c r="D267" s="3"/>
      <c r="E267" s="3"/>
      <c r="F267" s="46"/>
      <c r="G267" s="3"/>
      <c r="H267" s="3"/>
      <c r="I267" s="3"/>
      <c r="J267" s="3"/>
      <c r="K267" s="3"/>
      <c r="L267" s="3"/>
      <c r="M267" s="3"/>
      <c r="N267" s="3"/>
      <c r="O267" s="4"/>
      <c r="P267" s="3"/>
      <c r="Q267" s="3"/>
      <c r="R267" s="3"/>
      <c r="S267" s="3"/>
      <c r="T267" s="3"/>
      <c r="U267" s="16"/>
      <c r="V267" s="3"/>
      <c r="X267" s="19">
        <v>0</v>
      </c>
    </row>
    <row r="268" spans="2:24" x14ac:dyDescent="0.3">
      <c r="B268" s="16"/>
      <c r="C268" s="3"/>
      <c r="D268" s="3"/>
      <c r="E268" s="3"/>
      <c r="F268" s="46"/>
      <c r="G268" s="3"/>
      <c r="H268" s="3"/>
      <c r="I268" s="3"/>
      <c r="J268" s="3"/>
      <c r="K268" s="3"/>
      <c r="L268" s="3"/>
      <c r="M268" s="3"/>
      <c r="N268" s="3"/>
      <c r="O268" s="4"/>
      <c r="P268" s="3"/>
      <c r="Q268" s="3"/>
      <c r="R268" s="3"/>
      <c r="S268" s="3"/>
      <c r="T268" s="3"/>
      <c r="U268" s="16"/>
      <c r="V268" s="3"/>
      <c r="X268" s="19">
        <v>0</v>
      </c>
    </row>
    <row r="269" spans="2:24" x14ac:dyDescent="0.3">
      <c r="B269" s="16"/>
      <c r="C269" s="3"/>
      <c r="D269" s="3"/>
      <c r="E269" s="3"/>
      <c r="F269" s="46"/>
      <c r="G269" s="3"/>
      <c r="H269" s="3"/>
      <c r="I269" s="3"/>
      <c r="J269" s="3"/>
      <c r="K269" s="3"/>
      <c r="L269" s="3"/>
      <c r="M269" s="3"/>
      <c r="N269" s="3"/>
      <c r="O269" s="4"/>
      <c r="P269" s="3"/>
      <c r="Q269" s="3"/>
      <c r="R269" s="3"/>
      <c r="S269" s="3"/>
      <c r="T269" s="3"/>
      <c r="U269" s="16"/>
      <c r="V269" s="3"/>
      <c r="X269" s="19">
        <v>0</v>
      </c>
    </row>
    <row r="270" spans="2:24" x14ac:dyDescent="0.3">
      <c r="B270" s="16"/>
      <c r="C270" s="3"/>
      <c r="D270" s="3"/>
      <c r="E270" s="3"/>
      <c r="F270" s="46"/>
      <c r="G270" s="3"/>
      <c r="H270" s="3"/>
      <c r="I270" s="3"/>
      <c r="J270" s="3"/>
      <c r="K270" s="3"/>
      <c r="L270" s="3"/>
      <c r="M270" s="3"/>
      <c r="N270" s="3"/>
      <c r="O270" s="4"/>
      <c r="P270" s="3"/>
      <c r="Q270" s="3"/>
      <c r="R270" s="3"/>
      <c r="S270" s="3"/>
      <c r="T270" s="3"/>
      <c r="U270" s="16"/>
      <c r="V270" s="3"/>
      <c r="X270" s="19">
        <v>0</v>
      </c>
    </row>
    <row r="271" spans="2:24" x14ac:dyDescent="0.3">
      <c r="B271" s="16"/>
      <c r="C271" s="3"/>
      <c r="D271" s="3"/>
      <c r="E271" s="3"/>
      <c r="F271" s="46"/>
      <c r="G271" s="3"/>
      <c r="H271" s="3"/>
      <c r="I271" s="3"/>
      <c r="J271" s="3"/>
      <c r="K271" s="3"/>
      <c r="L271" s="3"/>
      <c r="M271" s="3"/>
      <c r="N271" s="3"/>
      <c r="O271" s="4"/>
      <c r="P271" s="3"/>
      <c r="Q271" s="3"/>
      <c r="R271" s="3"/>
      <c r="S271" s="3"/>
      <c r="T271" s="3"/>
      <c r="U271" s="16"/>
      <c r="V271" s="3"/>
      <c r="X271" s="19">
        <v>0</v>
      </c>
    </row>
    <row r="272" spans="2:24" x14ac:dyDescent="0.3">
      <c r="B272" s="16"/>
      <c r="C272" s="3"/>
      <c r="D272" s="3"/>
      <c r="E272" s="3"/>
      <c r="F272" s="46"/>
      <c r="G272" s="3"/>
      <c r="H272" s="3"/>
      <c r="I272" s="3"/>
      <c r="J272" s="3"/>
      <c r="K272" s="3"/>
      <c r="L272" s="3"/>
      <c r="M272" s="3"/>
      <c r="N272" s="3"/>
      <c r="O272" s="4"/>
      <c r="P272" s="3"/>
      <c r="Q272" s="3"/>
      <c r="R272" s="3"/>
      <c r="S272" s="3"/>
      <c r="T272" s="3"/>
      <c r="U272" s="16"/>
      <c r="V272" s="3"/>
      <c r="X272" s="19">
        <v>0</v>
      </c>
    </row>
    <row r="273" spans="2:24" x14ac:dyDescent="0.3">
      <c r="B273" s="16"/>
      <c r="C273" s="3"/>
      <c r="D273" s="3"/>
      <c r="E273" s="3"/>
      <c r="F273" s="46"/>
      <c r="G273" s="3"/>
      <c r="H273" s="3"/>
      <c r="I273" s="3"/>
      <c r="J273" s="3"/>
      <c r="K273" s="3"/>
      <c r="L273" s="3"/>
      <c r="M273" s="3"/>
      <c r="N273" s="3"/>
      <c r="O273" s="4"/>
      <c r="P273" s="3"/>
      <c r="Q273" s="3"/>
      <c r="R273" s="3"/>
      <c r="S273" s="3"/>
      <c r="T273" s="3"/>
      <c r="U273" s="16"/>
      <c r="V273" s="3"/>
      <c r="X273" s="19">
        <v>0</v>
      </c>
    </row>
    <row r="274" spans="2:24" x14ac:dyDescent="0.3">
      <c r="B274" s="16"/>
      <c r="C274" s="3"/>
      <c r="D274" s="3"/>
      <c r="E274" s="3"/>
      <c r="F274" s="46"/>
      <c r="G274" s="3"/>
      <c r="H274" s="3"/>
      <c r="I274" s="3"/>
      <c r="J274" s="3"/>
      <c r="K274" s="3"/>
      <c r="L274" s="3"/>
      <c r="M274" s="3"/>
      <c r="N274" s="3"/>
      <c r="O274" s="4"/>
      <c r="P274" s="3"/>
      <c r="Q274" s="3"/>
      <c r="R274" s="3"/>
      <c r="S274" s="3"/>
      <c r="T274" s="3"/>
      <c r="U274" s="16"/>
      <c r="V274" s="3"/>
      <c r="X274" s="19">
        <v>0</v>
      </c>
    </row>
    <row r="275" spans="2:24" x14ac:dyDescent="0.3">
      <c r="B275" s="16"/>
      <c r="C275" s="3"/>
      <c r="D275" s="3"/>
      <c r="E275" s="3"/>
      <c r="F275" s="46"/>
      <c r="G275" s="3"/>
      <c r="H275" s="3"/>
      <c r="I275" s="3"/>
      <c r="J275" s="3"/>
      <c r="K275" s="3"/>
      <c r="L275" s="3"/>
      <c r="M275" s="3"/>
      <c r="N275" s="3"/>
      <c r="O275" s="4"/>
      <c r="P275" s="3"/>
      <c r="Q275" s="3"/>
      <c r="R275" s="3"/>
      <c r="S275" s="3"/>
      <c r="T275" s="3"/>
      <c r="U275" s="16"/>
      <c r="V275" s="3"/>
      <c r="X275" s="19">
        <v>0</v>
      </c>
    </row>
    <row r="276" spans="2:24" x14ac:dyDescent="0.3">
      <c r="B276" s="16"/>
      <c r="C276" s="3"/>
      <c r="D276" s="3"/>
      <c r="E276" s="3"/>
      <c r="F276" s="46"/>
      <c r="G276" s="3"/>
      <c r="H276" s="3"/>
      <c r="I276" s="3"/>
      <c r="J276" s="3"/>
      <c r="K276" s="3"/>
      <c r="L276" s="3"/>
      <c r="M276" s="3"/>
      <c r="N276" s="3"/>
      <c r="O276" s="4"/>
      <c r="P276" s="3"/>
      <c r="Q276" s="3"/>
      <c r="R276" s="3"/>
      <c r="S276" s="3"/>
      <c r="T276" s="3"/>
      <c r="U276" s="16"/>
      <c r="V276" s="3"/>
      <c r="X276" s="19">
        <v>0</v>
      </c>
    </row>
    <row r="277" spans="2:24" x14ac:dyDescent="0.3">
      <c r="B277" s="16"/>
      <c r="C277" s="3"/>
      <c r="D277" s="3"/>
      <c r="E277" s="3"/>
      <c r="F277" s="46"/>
      <c r="G277" s="3"/>
      <c r="H277" s="3"/>
      <c r="I277" s="3"/>
      <c r="J277" s="3"/>
      <c r="K277" s="3"/>
      <c r="L277" s="3"/>
      <c r="M277" s="3"/>
      <c r="N277" s="3"/>
      <c r="O277" s="4"/>
      <c r="P277" s="3"/>
      <c r="Q277" s="3"/>
      <c r="R277" s="3"/>
      <c r="S277" s="3"/>
      <c r="T277" s="3"/>
      <c r="U277" s="16"/>
      <c r="V277" s="3"/>
      <c r="X277" s="19">
        <v>0</v>
      </c>
    </row>
    <row r="278" spans="2:24" x14ac:dyDescent="0.3">
      <c r="B278" s="16"/>
      <c r="C278" s="3"/>
      <c r="D278" s="3"/>
      <c r="E278" s="3"/>
      <c r="F278" s="46"/>
      <c r="G278" s="3"/>
      <c r="H278" s="3"/>
      <c r="I278" s="3"/>
      <c r="J278" s="3"/>
      <c r="K278" s="3"/>
      <c r="L278" s="3"/>
      <c r="M278" s="3"/>
      <c r="N278" s="3"/>
      <c r="O278" s="4"/>
      <c r="P278" s="3"/>
      <c r="Q278" s="3"/>
      <c r="R278" s="3"/>
      <c r="S278" s="3"/>
      <c r="T278" s="3"/>
      <c r="U278" s="16"/>
      <c r="V278" s="3"/>
      <c r="X278" s="19">
        <v>0</v>
      </c>
    </row>
    <row r="279" spans="2:24" x14ac:dyDescent="0.3">
      <c r="B279" s="16"/>
      <c r="C279" s="3"/>
      <c r="D279" s="3"/>
      <c r="E279" s="3"/>
      <c r="F279" s="46"/>
      <c r="G279" s="3"/>
      <c r="H279" s="3"/>
      <c r="I279" s="3"/>
      <c r="J279" s="3"/>
      <c r="K279" s="3"/>
      <c r="L279" s="3"/>
      <c r="M279" s="3"/>
      <c r="N279" s="3"/>
      <c r="O279" s="4"/>
      <c r="P279" s="3"/>
      <c r="Q279" s="3"/>
      <c r="R279" s="3"/>
      <c r="S279" s="3"/>
      <c r="T279" s="3"/>
      <c r="U279" s="16"/>
      <c r="V279" s="3"/>
      <c r="X279" s="19">
        <v>0</v>
      </c>
    </row>
    <row r="280" spans="2:24" x14ac:dyDescent="0.3">
      <c r="B280" s="16"/>
      <c r="C280" s="3"/>
      <c r="D280" s="3"/>
      <c r="E280" s="3"/>
      <c r="F280" s="46"/>
      <c r="G280" s="3"/>
      <c r="H280" s="3"/>
      <c r="I280" s="3"/>
      <c r="J280" s="3"/>
      <c r="K280" s="3"/>
      <c r="L280" s="3"/>
      <c r="M280" s="3"/>
      <c r="N280" s="3"/>
      <c r="O280" s="4"/>
      <c r="P280" s="3"/>
      <c r="Q280" s="3"/>
      <c r="R280" s="3"/>
      <c r="S280" s="3"/>
      <c r="T280" s="3"/>
      <c r="U280" s="16"/>
      <c r="V280" s="3"/>
      <c r="X280" s="19">
        <v>0</v>
      </c>
    </row>
    <row r="281" spans="2:24" x14ac:dyDescent="0.3">
      <c r="B281" s="16"/>
      <c r="C281" s="3"/>
      <c r="D281" s="3"/>
      <c r="E281" s="3"/>
      <c r="F281" s="46"/>
      <c r="G281" s="3"/>
      <c r="H281" s="3"/>
      <c r="I281" s="3"/>
      <c r="J281" s="3"/>
      <c r="K281" s="3"/>
      <c r="L281" s="3"/>
      <c r="M281" s="3"/>
      <c r="N281" s="3"/>
      <c r="O281" s="4"/>
      <c r="P281" s="3"/>
      <c r="Q281" s="3"/>
      <c r="R281" s="3"/>
      <c r="S281" s="3"/>
      <c r="T281" s="3"/>
      <c r="U281" s="16"/>
      <c r="V281" s="3"/>
      <c r="X281" s="19">
        <v>0</v>
      </c>
    </row>
    <row r="282" spans="2:24" x14ac:dyDescent="0.3">
      <c r="B282" s="16"/>
      <c r="C282" s="3"/>
      <c r="D282" s="3"/>
      <c r="E282" s="3"/>
      <c r="F282" s="46"/>
      <c r="G282" s="3"/>
      <c r="H282" s="3"/>
      <c r="I282" s="3"/>
      <c r="J282" s="3"/>
      <c r="K282" s="3"/>
      <c r="L282" s="3"/>
      <c r="M282" s="3"/>
      <c r="N282" s="3"/>
      <c r="O282" s="4"/>
      <c r="P282" s="3"/>
      <c r="Q282" s="3"/>
      <c r="R282" s="3"/>
      <c r="S282" s="3"/>
      <c r="T282" s="3"/>
      <c r="U282" s="16"/>
      <c r="V282" s="3"/>
      <c r="X282" s="19">
        <v>0</v>
      </c>
    </row>
    <row r="283" spans="2:24" x14ac:dyDescent="0.3">
      <c r="B283" s="16"/>
      <c r="C283" s="3"/>
      <c r="D283" s="3"/>
      <c r="E283" s="3"/>
      <c r="F283" s="46"/>
      <c r="G283" s="3"/>
      <c r="H283" s="3"/>
      <c r="I283" s="3"/>
      <c r="J283" s="3"/>
      <c r="K283" s="3"/>
      <c r="L283" s="3"/>
      <c r="M283" s="3"/>
      <c r="N283" s="3"/>
      <c r="O283" s="4"/>
      <c r="P283" s="3"/>
      <c r="Q283" s="3"/>
      <c r="R283" s="3"/>
      <c r="S283" s="3"/>
      <c r="T283" s="3"/>
      <c r="U283" s="16"/>
      <c r="V283" s="3"/>
      <c r="X283" s="19">
        <v>0</v>
      </c>
    </row>
    <row r="284" spans="2:24" x14ac:dyDescent="0.3">
      <c r="B284" s="16"/>
      <c r="C284" s="3"/>
      <c r="D284" s="3"/>
      <c r="E284" s="3"/>
      <c r="F284" s="46"/>
      <c r="G284" s="3"/>
      <c r="H284" s="3"/>
      <c r="I284" s="3"/>
      <c r="J284" s="3"/>
      <c r="K284" s="3"/>
      <c r="L284" s="3"/>
      <c r="M284" s="3"/>
      <c r="N284" s="3"/>
      <c r="O284" s="4"/>
      <c r="P284" s="3"/>
      <c r="Q284" s="3"/>
      <c r="R284" s="3"/>
      <c r="S284" s="3"/>
      <c r="T284" s="3"/>
      <c r="U284" s="16"/>
      <c r="V284" s="3"/>
      <c r="X284" s="19">
        <v>0</v>
      </c>
    </row>
    <row r="285" spans="2:24" x14ac:dyDescent="0.3">
      <c r="B285" s="16"/>
      <c r="C285" s="3"/>
      <c r="D285" s="3"/>
      <c r="E285" s="3"/>
      <c r="F285" s="46"/>
      <c r="G285" s="3"/>
      <c r="H285" s="3"/>
      <c r="I285" s="3"/>
      <c r="J285" s="3"/>
      <c r="K285" s="3"/>
      <c r="L285" s="3"/>
      <c r="M285" s="3"/>
      <c r="N285" s="3"/>
      <c r="O285" s="4"/>
      <c r="P285" s="3"/>
      <c r="Q285" s="3"/>
      <c r="R285" s="3"/>
      <c r="S285" s="3"/>
      <c r="T285" s="3"/>
      <c r="U285" s="16"/>
      <c r="V285" s="3"/>
      <c r="X285" s="19">
        <v>0</v>
      </c>
    </row>
    <row r="286" spans="2:24" x14ac:dyDescent="0.3">
      <c r="B286" s="16"/>
      <c r="C286" s="3"/>
      <c r="D286" s="3"/>
      <c r="E286" s="3"/>
      <c r="F286" s="46"/>
      <c r="G286" s="3"/>
      <c r="H286" s="3"/>
      <c r="I286" s="3"/>
      <c r="J286" s="3"/>
      <c r="K286" s="3"/>
      <c r="L286" s="3"/>
      <c r="M286" s="3"/>
      <c r="N286" s="3"/>
      <c r="O286" s="4"/>
      <c r="P286" s="3"/>
      <c r="Q286" s="3"/>
      <c r="R286" s="3"/>
      <c r="S286" s="3"/>
      <c r="T286" s="3"/>
      <c r="U286" s="16"/>
      <c r="V286" s="3"/>
      <c r="X286" s="19">
        <v>0</v>
      </c>
    </row>
    <row r="287" spans="2:24" x14ac:dyDescent="0.3">
      <c r="B287" s="16"/>
      <c r="C287" s="3"/>
      <c r="D287" s="3"/>
      <c r="E287" s="3"/>
      <c r="F287" s="46"/>
      <c r="G287" s="3"/>
      <c r="H287" s="3"/>
      <c r="I287" s="3"/>
      <c r="J287" s="3"/>
      <c r="K287" s="3"/>
      <c r="L287" s="3"/>
      <c r="M287" s="3"/>
      <c r="N287" s="3"/>
      <c r="O287" s="4"/>
      <c r="P287" s="3"/>
      <c r="Q287" s="3"/>
      <c r="R287" s="3"/>
      <c r="S287" s="3"/>
      <c r="T287" s="3"/>
      <c r="U287" s="16"/>
      <c r="V287" s="3"/>
      <c r="X287" s="19">
        <v>0</v>
      </c>
    </row>
    <row r="288" spans="2:24" x14ac:dyDescent="0.3">
      <c r="B288" s="16"/>
      <c r="C288" s="3"/>
      <c r="D288" s="3"/>
      <c r="E288" s="3"/>
      <c r="F288" s="46"/>
      <c r="G288" s="3"/>
      <c r="H288" s="3"/>
      <c r="I288" s="3"/>
      <c r="J288" s="3"/>
      <c r="K288" s="3"/>
      <c r="L288" s="3"/>
      <c r="M288" s="3"/>
      <c r="N288" s="3"/>
      <c r="O288" s="4"/>
      <c r="P288" s="3"/>
      <c r="Q288" s="3"/>
      <c r="R288" s="3"/>
      <c r="S288" s="3"/>
      <c r="T288" s="3"/>
      <c r="U288" s="16"/>
      <c r="V288" s="3"/>
      <c r="X288" s="19">
        <v>0</v>
      </c>
    </row>
    <row r="289" spans="2:24" x14ac:dyDescent="0.3">
      <c r="B289" s="16"/>
      <c r="C289" s="3"/>
      <c r="D289" s="3"/>
      <c r="E289" s="3"/>
      <c r="F289" s="46"/>
      <c r="G289" s="3"/>
      <c r="H289" s="3"/>
      <c r="I289" s="3"/>
      <c r="J289" s="3"/>
      <c r="K289" s="3"/>
      <c r="L289" s="3"/>
      <c r="M289" s="3"/>
      <c r="N289" s="3"/>
      <c r="O289" s="4"/>
      <c r="P289" s="3"/>
      <c r="Q289" s="3"/>
      <c r="R289" s="3"/>
      <c r="S289" s="3"/>
      <c r="T289" s="3"/>
      <c r="U289" s="16"/>
      <c r="V289" s="3"/>
      <c r="X289" s="19">
        <v>0</v>
      </c>
    </row>
    <row r="290" spans="2:24" x14ac:dyDescent="0.3">
      <c r="B290" s="16"/>
      <c r="C290" s="3"/>
      <c r="D290" s="3"/>
      <c r="E290" s="3"/>
      <c r="F290" s="46"/>
      <c r="G290" s="3"/>
      <c r="H290" s="3"/>
      <c r="I290" s="3"/>
      <c r="J290" s="3"/>
      <c r="K290" s="3"/>
      <c r="L290" s="3"/>
      <c r="M290" s="3"/>
      <c r="N290" s="3"/>
      <c r="O290" s="4"/>
      <c r="P290" s="3"/>
      <c r="Q290" s="3"/>
      <c r="R290" s="3"/>
      <c r="S290" s="3"/>
      <c r="T290" s="3"/>
      <c r="U290" s="16"/>
      <c r="V290" s="3"/>
      <c r="X290" s="19">
        <v>0</v>
      </c>
    </row>
    <row r="291" spans="2:24" x14ac:dyDescent="0.3">
      <c r="B291" s="16"/>
      <c r="C291" s="3"/>
      <c r="D291" s="3"/>
      <c r="E291" s="3"/>
      <c r="F291" s="46"/>
      <c r="G291" s="3"/>
      <c r="H291" s="3"/>
      <c r="I291" s="3"/>
      <c r="J291" s="3"/>
      <c r="K291" s="3"/>
      <c r="L291" s="3"/>
      <c r="M291" s="3"/>
      <c r="N291" s="3"/>
      <c r="O291" s="4"/>
      <c r="P291" s="3"/>
      <c r="Q291" s="3"/>
      <c r="R291" s="3"/>
      <c r="S291" s="3"/>
      <c r="T291" s="3"/>
      <c r="U291" s="16"/>
      <c r="V291" s="3"/>
      <c r="X291" s="19">
        <v>0</v>
      </c>
    </row>
    <row r="292" spans="2:24" x14ac:dyDescent="0.3">
      <c r="B292" s="16"/>
      <c r="C292" s="3"/>
      <c r="D292" s="3"/>
      <c r="E292" s="3"/>
      <c r="F292" s="46"/>
      <c r="G292" s="3"/>
      <c r="H292" s="3"/>
      <c r="I292" s="3"/>
      <c r="J292" s="3"/>
      <c r="K292" s="3"/>
      <c r="L292" s="3"/>
      <c r="M292" s="3"/>
      <c r="N292" s="3"/>
      <c r="O292" s="4"/>
      <c r="P292" s="3"/>
      <c r="Q292" s="3"/>
      <c r="R292" s="3"/>
      <c r="S292" s="3"/>
      <c r="T292" s="3"/>
      <c r="U292" s="16"/>
      <c r="V292" s="3"/>
      <c r="X292" s="19">
        <v>0</v>
      </c>
    </row>
    <row r="293" spans="2:24" x14ac:dyDescent="0.3">
      <c r="B293" s="16"/>
      <c r="C293" s="3"/>
      <c r="D293" s="3"/>
      <c r="E293" s="3"/>
      <c r="F293" s="46"/>
      <c r="G293" s="3"/>
      <c r="H293" s="3"/>
      <c r="I293" s="3"/>
      <c r="J293" s="3"/>
      <c r="K293" s="3"/>
      <c r="L293" s="3"/>
      <c r="M293" s="3"/>
      <c r="N293" s="3"/>
      <c r="O293" s="4"/>
      <c r="P293" s="3"/>
      <c r="Q293" s="3"/>
      <c r="R293" s="3"/>
      <c r="S293" s="3"/>
      <c r="T293" s="3"/>
      <c r="U293" s="16"/>
      <c r="V293" s="3"/>
      <c r="X293" s="19">
        <v>0</v>
      </c>
    </row>
    <row r="294" spans="2:24" x14ac:dyDescent="0.3">
      <c r="B294" s="16"/>
      <c r="C294" s="3"/>
      <c r="D294" s="3"/>
      <c r="E294" s="3"/>
      <c r="F294" s="46"/>
      <c r="G294" s="3"/>
      <c r="H294" s="3"/>
      <c r="I294" s="3"/>
      <c r="J294" s="3"/>
      <c r="K294" s="3"/>
      <c r="L294" s="3"/>
      <c r="M294" s="3"/>
      <c r="N294" s="3"/>
      <c r="O294" s="4"/>
      <c r="P294" s="3"/>
      <c r="Q294" s="3"/>
      <c r="R294" s="3"/>
      <c r="S294" s="3"/>
      <c r="T294" s="3"/>
      <c r="U294" s="16"/>
      <c r="V294" s="3"/>
      <c r="X294" s="19">
        <v>0</v>
      </c>
    </row>
    <row r="295" spans="2:24" x14ac:dyDescent="0.3">
      <c r="B295" s="16"/>
      <c r="C295" s="3"/>
      <c r="D295" s="3"/>
      <c r="E295" s="3"/>
      <c r="F295" s="46"/>
      <c r="G295" s="3"/>
      <c r="H295" s="3"/>
      <c r="I295" s="3"/>
      <c r="J295" s="3"/>
      <c r="K295" s="3"/>
      <c r="L295" s="3"/>
      <c r="M295" s="3"/>
      <c r="N295" s="3"/>
      <c r="O295" s="4"/>
      <c r="P295" s="3"/>
      <c r="Q295" s="3"/>
      <c r="R295" s="3"/>
      <c r="S295" s="3"/>
      <c r="T295" s="3"/>
      <c r="U295" s="16"/>
      <c r="V295" s="3"/>
      <c r="X295" s="19">
        <v>0</v>
      </c>
    </row>
    <row r="296" spans="2:24" x14ac:dyDescent="0.3">
      <c r="B296" s="16"/>
      <c r="C296" s="3"/>
      <c r="D296" s="3"/>
      <c r="E296" s="3"/>
      <c r="F296" s="46"/>
      <c r="G296" s="3"/>
      <c r="H296" s="3"/>
      <c r="I296" s="3"/>
      <c r="J296" s="3"/>
      <c r="K296" s="3"/>
      <c r="L296" s="3"/>
      <c r="M296" s="3"/>
      <c r="N296" s="3"/>
      <c r="O296" s="4"/>
      <c r="P296" s="3"/>
      <c r="Q296" s="3"/>
      <c r="R296" s="3"/>
      <c r="S296" s="3"/>
      <c r="T296" s="3"/>
      <c r="U296" s="16"/>
      <c r="V296" s="3"/>
      <c r="X296" s="19">
        <v>0</v>
      </c>
    </row>
    <row r="297" spans="2:24" x14ac:dyDescent="0.3">
      <c r="B297" s="16"/>
      <c r="C297" s="3"/>
      <c r="D297" s="3"/>
      <c r="E297" s="3"/>
      <c r="F297" s="46"/>
      <c r="G297" s="3"/>
      <c r="H297" s="3"/>
      <c r="I297" s="3"/>
      <c r="J297" s="3"/>
      <c r="K297" s="3"/>
      <c r="L297" s="3"/>
      <c r="M297" s="3"/>
      <c r="N297" s="3"/>
      <c r="O297" s="4"/>
      <c r="P297" s="3"/>
      <c r="Q297" s="3"/>
      <c r="R297" s="3"/>
      <c r="S297" s="3"/>
      <c r="T297" s="3"/>
      <c r="U297" s="16"/>
      <c r="V297" s="3"/>
      <c r="X297" s="19">
        <v>0</v>
      </c>
    </row>
    <row r="298" spans="2:24" x14ac:dyDescent="0.3">
      <c r="B298" s="16"/>
      <c r="C298" s="3"/>
      <c r="D298" s="3"/>
      <c r="E298" s="3"/>
      <c r="F298" s="46"/>
      <c r="G298" s="3"/>
      <c r="H298" s="3"/>
      <c r="I298" s="3"/>
      <c r="J298" s="3"/>
      <c r="K298" s="3"/>
      <c r="L298" s="3"/>
      <c r="M298" s="3"/>
      <c r="N298" s="3"/>
      <c r="O298" s="4"/>
      <c r="P298" s="3"/>
      <c r="Q298" s="3"/>
      <c r="R298" s="3"/>
      <c r="S298" s="3"/>
      <c r="T298" s="3"/>
      <c r="U298" s="16"/>
      <c r="V298" s="3"/>
      <c r="X298" s="19">
        <v>0</v>
      </c>
    </row>
    <row r="299" spans="2:24" x14ac:dyDescent="0.3">
      <c r="B299" s="16"/>
      <c r="C299" s="3"/>
      <c r="D299" s="3"/>
      <c r="E299" s="3"/>
      <c r="F299" s="46"/>
      <c r="G299" s="3"/>
      <c r="H299" s="3"/>
      <c r="I299" s="3"/>
      <c r="J299" s="3"/>
      <c r="K299" s="3"/>
      <c r="L299" s="3"/>
      <c r="M299" s="3"/>
      <c r="N299" s="3"/>
      <c r="O299" s="4"/>
      <c r="P299" s="3"/>
      <c r="Q299" s="3"/>
      <c r="R299" s="3"/>
      <c r="S299" s="3"/>
      <c r="T299" s="3"/>
      <c r="U299" s="16"/>
      <c r="V299" s="3"/>
      <c r="X299" s="19">
        <v>0</v>
      </c>
    </row>
    <row r="300" spans="2:24" x14ac:dyDescent="0.3">
      <c r="B300" s="16"/>
      <c r="C300" s="3"/>
      <c r="D300" s="3"/>
      <c r="E300" s="3"/>
      <c r="F300" s="46"/>
      <c r="G300" s="3"/>
      <c r="H300" s="3"/>
      <c r="I300" s="3"/>
      <c r="J300" s="3"/>
      <c r="K300" s="3"/>
      <c r="L300" s="3"/>
      <c r="M300" s="3"/>
      <c r="N300" s="3"/>
      <c r="O300" s="4"/>
      <c r="P300" s="3"/>
      <c r="Q300" s="3"/>
      <c r="R300" s="3"/>
      <c r="S300" s="3"/>
      <c r="T300" s="3"/>
      <c r="U300" s="16"/>
      <c r="V300" s="3"/>
      <c r="X300" s="19">
        <v>0</v>
      </c>
    </row>
    <row r="301" spans="2:24" x14ac:dyDescent="0.3">
      <c r="B301" s="16"/>
      <c r="C301" s="3"/>
      <c r="D301" s="3"/>
      <c r="E301" s="3"/>
      <c r="F301" s="46"/>
      <c r="G301" s="3"/>
      <c r="H301" s="3"/>
      <c r="I301" s="3"/>
      <c r="J301" s="3"/>
      <c r="K301" s="3"/>
      <c r="L301" s="3"/>
      <c r="M301" s="3"/>
      <c r="N301" s="3"/>
      <c r="O301" s="4"/>
      <c r="P301" s="3"/>
      <c r="Q301" s="3"/>
      <c r="R301" s="3"/>
      <c r="S301" s="3"/>
      <c r="T301" s="3"/>
      <c r="U301" s="16"/>
      <c r="V301" s="3"/>
      <c r="X301" s="19">
        <v>0</v>
      </c>
    </row>
    <row r="302" spans="2:24" x14ac:dyDescent="0.3">
      <c r="B302" s="16"/>
      <c r="C302" s="3"/>
      <c r="D302" s="3"/>
      <c r="E302" s="3"/>
      <c r="F302" s="46"/>
      <c r="G302" s="3"/>
      <c r="H302" s="3"/>
      <c r="I302" s="3"/>
      <c r="J302" s="3"/>
      <c r="K302" s="3"/>
      <c r="L302" s="3"/>
      <c r="M302" s="3"/>
      <c r="N302" s="3"/>
      <c r="O302" s="4"/>
      <c r="P302" s="3"/>
      <c r="Q302" s="3"/>
      <c r="R302" s="3"/>
      <c r="S302" s="3"/>
      <c r="T302" s="3"/>
      <c r="U302" s="16"/>
      <c r="V302" s="3"/>
      <c r="X302" s="19">
        <v>0</v>
      </c>
    </row>
    <row r="303" spans="2:24" x14ac:dyDescent="0.3">
      <c r="B303" s="16"/>
      <c r="C303" s="3"/>
      <c r="D303" s="3"/>
      <c r="E303" s="3"/>
      <c r="F303" s="46"/>
      <c r="G303" s="3"/>
      <c r="H303" s="3"/>
      <c r="I303" s="3"/>
      <c r="J303" s="3"/>
      <c r="K303" s="3"/>
      <c r="L303" s="3"/>
      <c r="M303" s="3"/>
      <c r="N303" s="3"/>
      <c r="O303" s="4"/>
      <c r="P303" s="3"/>
      <c r="Q303" s="3"/>
      <c r="R303" s="3"/>
      <c r="S303" s="3"/>
      <c r="T303" s="3"/>
      <c r="U303" s="16"/>
      <c r="V303" s="3"/>
      <c r="X303" s="19">
        <v>0</v>
      </c>
    </row>
    <row r="304" spans="2:24" x14ac:dyDescent="0.3">
      <c r="B304" s="16"/>
      <c r="C304" s="3"/>
      <c r="D304" s="3"/>
      <c r="E304" s="3"/>
      <c r="F304" s="46"/>
      <c r="G304" s="3"/>
      <c r="H304" s="3"/>
      <c r="I304" s="3"/>
      <c r="J304" s="3"/>
      <c r="K304" s="3"/>
      <c r="L304" s="3"/>
      <c r="M304" s="3"/>
      <c r="N304" s="3"/>
      <c r="O304" s="4"/>
      <c r="P304" s="3"/>
      <c r="Q304" s="3"/>
      <c r="R304" s="3"/>
      <c r="S304" s="3"/>
      <c r="T304" s="3"/>
      <c r="U304" s="16"/>
      <c r="V304" s="3"/>
      <c r="X304" s="19">
        <v>0</v>
      </c>
    </row>
    <row r="305" spans="2:24" x14ac:dyDescent="0.3">
      <c r="B305" s="16"/>
      <c r="C305" s="3"/>
      <c r="D305" s="3"/>
      <c r="E305" s="3"/>
      <c r="F305" s="46"/>
      <c r="G305" s="3"/>
      <c r="H305" s="3"/>
      <c r="I305" s="3"/>
      <c r="J305" s="3"/>
      <c r="K305" s="3"/>
      <c r="L305" s="3"/>
      <c r="M305" s="3"/>
      <c r="N305" s="3"/>
      <c r="O305" s="4"/>
      <c r="P305" s="3"/>
      <c r="Q305" s="3"/>
      <c r="R305" s="3"/>
      <c r="S305" s="3"/>
      <c r="T305" s="3"/>
      <c r="U305" s="16"/>
      <c r="V305" s="3"/>
      <c r="X305" s="19">
        <v>0</v>
      </c>
    </row>
    <row r="306" spans="2:24" x14ac:dyDescent="0.3">
      <c r="B306" s="16"/>
      <c r="C306" s="3"/>
      <c r="D306" s="3"/>
      <c r="E306" s="3"/>
      <c r="F306" s="46"/>
      <c r="G306" s="3"/>
      <c r="H306" s="3"/>
      <c r="I306" s="3"/>
      <c r="J306" s="3"/>
      <c r="K306" s="3"/>
      <c r="L306" s="3"/>
      <c r="M306" s="3"/>
      <c r="N306" s="3"/>
      <c r="O306" s="4"/>
      <c r="P306" s="3"/>
      <c r="Q306" s="3"/>
      <c r="R306" s="3"/>
      <c r="S306" s="3"/>
      <c r="T306" s="3"/>
      <c r="U306" s="16"/>
      <c r="V306" s="3"/>
      <c r="X306" s="19">
        <v>0</v>
      </c>
    </row>
    <row r="307" spans="2:24" x14ac:dyDescent="0.3">
      <c r="B307" s="16"/>
      <c r="C307" s="3"/>
      <c r="D307" s="3"/>
      <c r="E307" s="3"/>
      <c r="F307" s="46"/>
      <c r="G307" s="3"/>
      <c r="H307" s="3"/>
      <c r="I307" s="3"/>
      <c r="J307" s="3"/>
      <c r="K307" s="3"/>
      <c r="L307" s="3"/>
      <c r="M307" s="3"/>
      <c r="N307" s="3"/>
      <c r="O307" s="4"/>
      <c r="P307" s="3"/>
      <c r="Q307" s="3"/>
      <c r="R307" s="3"/>
      <c r="S307" s="3"/>
      <c r="T307" s="3"/>
      <c r="U307" s="16"/>
      <c r="V307" s="3"/>
      <c r="X307" s="19">
        <v>0</v>
      </c>
    </row>
    <row r="308" spans="2:24" x14ac:dyDescent="0.3">
      <c r="B308" s="16"/>
      <c r="C308" s="3"/>
      <c r="D308" s="3"/>
      <c r="E308" s="3"/>
      <c r="F308" s="46"/>
      <c r="G308" s="3"/>
      <c r="H308" s="3"/>
      <c r="I308" s="3"/>
      <c r="J308" s="3"/>
      <c r="K308" s="3"/>
      <c r="L308" s="3"/>
      <c r="M308" s="3"/>
      <c r="N308" s="3"/>
      <c r="O308" s="4"/>
      <c r="P308" s="3"/>
      <c r="Q308" s="3"/>
      <c r="R308" s="3"/>
      <c r="S308" s="3"/>
      <c r="T308" s="3"/>
      <c r="U308" s="16"/>
      <c r="V308" s="3"/>
      <c r="X308" s="19">
        <v>0</v>
      </c>
    </row>
    <row r="309" spans="2:24" x14ac:dyDescent="0.3">
      <c r="B309" s="16"/>
      <c r="C309" s="3"/>
      <c r="D309" s="3"/>
      <c r="E309" s="3"/>
      <c r="F309" s="46"/>
      <c r="G309" s="3"/>
      <c r="H309" s="3"/>
      <c r="I309" s="3"/>
      <c r="J309" s="3"/>
      <c r="K309" s="3"/>
      <c r="L309" s="3"/>
      <c r="M309" s="3"/>
      <c r="N309" s="3"/>
      <c r="O309" s="4"/>
      <c r="P309" s="3"/>
      <c r="Q309" s="3"/>
      <c r="R309" s="3"/>
      <c r="S309" s="3"/>
      <c r="T309" s="3"/>
      <c r="U309" s="16"/>
      <c r="V309" s="3"/>
      <c r="X309" s="19">
        <v>0</v>
      </c>
    </row>
    <row r="310" spans="2:24" x14ac:dyDescent="0.3">
      <c r="B310" s="16"/>
      <c r="C310" s="3"/>
      <c r="D310" s="3"/>
      <c r="E310" s="3"/>
      <c r="F310" s="46"/>
      <c r="G310" s="3"/>
      <c r="H310" s="3"/>
      <c r="I310" s="3"/>
      <c r="J310" s="3"/>
      <c r="K310" s="3"/>
      <c r="L310" s="3"/>
      <c r="M310" s="3"/>
      <c r="N310" s="3"/>
      <c r="O310" s="4"/>
      <c r="P310" s="3"/>
      <c r="Q310" s="3"/>
      <c r="R310" s="3"/>
      <c r="S310" s="3"/>
      <c r="T310" s="3"/>
      <c r="U310" s="16"/>
      <c r="V310" s="3"/>
      <c r="X310" s="19">
        <v>0</v>
      </c>
    </row>
    <row r="311" spans="2:24" x14ac:dyDescent="0.3">
      <c r="B311" s="16"/>
      <c r="C311" s="3"/>
      <c r="D311" s="3"/>
      <c r="E311" s="3"/>
      <c r="F311" s="46"/>
      <c r="G311" s="3"/>
      <c r="H311" s="3"/>
      <c r="I311" s="3"/>
      <c r="J311" s="3"/>
      <c r="K311" s="3"/>
      <c r="L311" s="3"/>
      <c r="M311" s="3"/>
      <c r="N311" s="3"/>
      <c r="O311" s="4"/>
      <c r="P311" s="3"/>
      <c r="Q311" s="3"/>
      <c r="R311" s="3"/>
      <c r="S311" s="3"/>
      <c r="T311" s="3"/>
      <c r="U311" s="16"/>
      <c r="V311" s="3"/>
      <c r="X311" s="19">
        <v>0</v>
      </c>
    </row>
    <row r="312" spans="2:24" x14ac:dyDescent="0.3">
      <c r="B312" s="16"/>
      <c r="C312" s="3"/>
      <c r="D312" s="3"/>
      <c r="E312" s="3"/>
      <c r="F312" s="46"/>
      <c r="G312" s="3"/>
      <c r="H312" s="3"/>
      <c r="I312" s="3"/>
      <c r="J312" s="3"/>
      <c r="K312" s="3"/>
      <c r="L312" s="3"/>
      <c r="M312" s="3"/>
      <c r="N312" s="3"/>
      <c r="O312" s="4"/>
      <c r="P312" s="3"/>
      <c r="Q312" s="3"/>
      <c r="R312" s="3"/>
      <c r="S312" s="3"/>
      <c r="T312" s="3"/>
      <c r="U312" s="16"/>
      <c r="V312" s="3"/>
      <c r="X312" s="19">
        <v>0</v>
      </c>
    </row>
    <row r="313" spans="2:24" x14ac:dyDescent="0.3">
      <c r="B313" s="16"/>
      <c r="C313" s="3"/>
      <c r="D313" s="3"/>
      <c r="E313" s="3"/>
      <c r="F313" s="46"/>
      <c r="G313" s="3"/>
      <c r="H313" s="3"/>
      <c r="I313" s="3"/>
      <c r="J313" s="3"/>
      <c r="K313" s="3"/>
      <c r="L313" s="3"/>
      <c r="M313" s="3"/>
      <c r="N313" s="3"/>
      <c r="O313" s="4"/>
      <c r="P313" s="3"/>
      <c r="Q313" s="3"/>
      <c r="R313" s="3"/>
      <c r="S313" s="3"/>
      <c r="T313" s="3"/>
      <c r="U313" s="16"/>
      <c r="V313" s="3"/>
      <c r="X313" s="19">
        <v>0</v>
      </c>
    </row>
    <row r="314" spans="2:24" x14ac:dyDescent="0.3">
      <c r="B314" s="16"/>
      <c r="C314" s="3"/>
      <c r="D314" s="3"/>
      <c r="E314" s="3"/>
      <c r="F314" s="46"/>
      <c r="G314" s="3"/>
      <c r="H314" s="3"/>
      <c r="I314" s="3"/>
      <c r="J314" s="3"/>
      <c r="K314" s="3"/>
      <c r="L314" s="3"/>
      <c r="M314" s="3"/>
      <c r="N314" s="3"/>
      <c r="O314" s="4"/>
      <c r="P314" s="3"/>
      <c r="Q314" s="3"/>
      <c r="R314" s="3"/>
      <c r="S314" s="3"/>
      <c r="T314" s="3"/>
      <c r="U314" s="16"/>
      <c r="V314" s="3"/>
      <c r="X314" s="19">
        <v>0</v>
      </c>
    </row>
    <row r="315" spans="2:24" x14ac:dyDescent="0.3">
      <c r="B315" s="16"/>
      <c r="C315" s="3"/>
      <c r="D315" s="3"/>
      <c r="E315" s="3"/>
      <c r="F315" s="46"/>
      <c r="G315" s="3"/>
      <c r="H315" s="3"/>
      <c r="I315" s="3"/>
      <c r="J315" s="3"/>
      <c r="K315" s="3"/>
      <c r="L315" s="3"/>
      <c r="M315" s="3"/>
      <c r="N315" s="3"/>
      <c r="O315" s="4"/>
      <c r="P315" s="3"/>
      <c r="Q315" s="3"/>
      <c r="R315" s="3"/>
      <c r="S315" s="3"/>
      <c r="T315" s="3"/>
      <c r="U315" s="16"/>
      <c r="V315" s="3"/>
      <c r="X315" s="19">
        <v>0</v>
      </c>
    </row>
    <row r="316" spans="2:24" x14ac:dyDescent="0.3">
      <c r="B316" s="16"/>
      <c r="C316" s="3"/>
      <c r="D316" s="3"/>
      <c r="E316" s="3"/>
      <c r="F316" s="46"/>
      <c r="G316" s="3"/>
      <c r="H316" s="3"/>
      <c r="I316" s="3"/>
      <c r="J316" s="3"/>
      <c r="K316" s="3"/>
      <c r="L316" s="3"/>
      <c r="M316" s="3"/>
      <c r="N316" s="3"/>
      <c r="O316" s="4"/>
      <c r="P316" s="3"/>
      <c r="Q316" s="3"/>
      <c r="R316" s="3"/>
      <c r="S316" s="3"/>
      <c r="T316" s="3"/>
      <c r="U316" s="16"/>
      <c r="V316" s="3"/>
      <c r="X316" s="19">
        <v>0</v>
      </c>
    </row>
    <row r="317" spans="2:24" x14ac:dyDescent="0.3">
      <c r="B317" s="16"/>
      <c r="C317" s="3"/>
      <c r="D317" s="3"/>
      <c r="E317" s="3"/>
      <c r="F317" s="46"/>
      <c r="G317" s="3"/>
      <c r="H317" s="3"/>
      <c r="I317" s="3"/>
      <c r="J317" s="3"/>
      <c r="K317" s="3"/>
      <c r="L317" s="3"/>
      <c r="M317" s="3"/>
      <c r="N317" s="3"/>
      <c r="O317" s="4"/>
      <c r="P317" s="3"/>
      <c r="Q317" s="3"/>
      <c r="R317" s="3"/>
      <c r="S317" s="3"/>
      <c r="T317" s="3"/>
      <c r="U317" s="16"/>
      <c r="V317" s="3"/>
      <c r="X317" s="19">
        <v>0</v>
      </c>
    </row>
    <row r="318" spans="2:24" x14ac:dyDescent="0.3">
      <c r="B318" s="16"/>
      <c r="C318" s="3"/>
      <c r="D318" s="3"/>
      <c r="E318" s="3"/>
      <c r="F318" s="46"/>
      <c r="G318" s="3"/>
      <c r="H318" s="3"/>
      <c r="I318" s="3"/>
      <c r="J318" s="3"/>
      <c r="K318" s="3"/>
      <c r="L318" s="3"/>
      <c r="M318" s="3"/>
      <c r="N318" s="3"/>
      <c r="O318" s="4"/>
      <c r="P318" s="3"/>
      <c r="Q318" s="3"/>
      <c r="R318" s="3"/>
      <c r="S318" s="3"/>
      <c r="T318" s="3"/>
      <c r="U318" s="16"/>
      <c r="V318" s="3"/>
      <c r="X318" s="19">
        <v>0</v>
      </c>
    </row>
    <row r="319" spans="2:24" x14ac:dyDescent="0.3">
      <c r="B319" s="16"/>
      <c r="C319" s="3"/>
      <c r="D319" s="3"/>
      <c r="E319" s="3"/>
      <c r="F319" s="46"/>
      <c r="G319" s="3"/>
      <c r="H319" s="3"/>
      <c r="I319" s="3"/>
      <c r="J319" s="3"/>
      <c r="K319" s="3"/>
      <c r="L319" s="3"/>
      <c r="M319" s="3"/>
      <c r="N319" s="3"/>
      <c r="O319" s="4"/>
      <c r="P319" s="3"/>
      <c r="Q319" s="3"/>
      <c r="R319" s="3"/>
      <c r="S319" s="3"/>
      <c r="T319" s="3"/>
      <c r="U319" s="16"/>
      <c r="V319" s="3"/>
      <c r="X319" s="19">
        <v>0</v>
      </c>
    </row>
    <row r="320" spans="2:24" x14ac:dyDescent="0.3">
      <c r="B320" s="16"/>
      <c r="C320" s="3"/>
      <c r="D320" s="3"/>
      <c r="E320" s="3"/>
      <c r="F320" s="46"/>
      <c r="G320" s="3"/>
      <c r="H320" s="3"/>
      <c r="I320" s="3"/>
      <c r="J320" s="3"/>
      <c r="K320" s="3"/>
      <c r="L320" s="3"/>
      <c r="M320" s="3"/>
      <c r="N320" s="3"/>
      <c r="O320" s="4"/>
      <c r="P320" s="3"/>
      <c r="Q320" s="3"/>
      <c r="R320" s="3"/>
      <c r="S320" s="3"/>
      <c r="T320" s="3"/>
      <c r="U320" s="16"/>
      <c r="V320" s="3"/>
      <c r="X320" s="19">
        <v>0</v>
      </c>
    </row>
    <row r="321" spans="2:24" x14ac:dyDescent="0.3">
      <c r="B321" s="16"/>
      <c r="C321" s="3"/>
      <c r="D321" s="3"/>
      <c r="E321" s="3"/>
      <c r="F321" s="46"/>
      <c r="G321" s="3"/>
      <c r="H321" s="3"/>
      <c r="I321" s="3"/>
      <c r="J321" s="3"/>
      <c r="K321" s="3"/>
      <c r="L321" s="3"/>
      <c r="M321" s="3"/>
      <c r="N321" s="3"/>
      <c r="O321" s="4"/>
      <c r="P321" s="3"/>
      <c r="Q321" s="3"/>
      <c r="R321" s="3"/>
      <c r="S321" s="3"/>
      <c r="T321" s="3"/>
      <c r="U321" s="16"/>
      <c r="V321" s="3"/>
      <c r="X321" s="19">
        <v>0</v>
      </c>
    </row>
    <row r="322" spans="2:24" x14ac:dyDescent="0.3">
      <c r="B322" s="16"/>
      <c r="C322" s="3"/>
      <c r="D322" s="3"/>
      <c r="E322" s="3"/>
      <c r="F322" s="46"/>
      <c r="G322" s="3"/>
      <c r="H322" s="3"/>
      <c r="I322" s="3"/>
      <c r="J322" s="3"/>
      <c r="K322" s="3"/>
      <c r="L322" s="3"/>
      <c r="M322" s="3"/>
      <c r="N322" s="3"/>
      <c r="O322" s="4"/>
      <c r="P322" s="3"/>
      <c r="Q322" s="3"/>
      <c r="R322" s="3"/>
      <c r="S322" s="3"/>
      <c r="T322" s="3"/>
      <c r="U322" s="16"/>
      <c r="V322" s="3"/>
      <c r="X322" s="19">
        <v>0</v>
      </c>
    </row>
    <row r="323" spans="2:24" x14ac:dyDescent="0.3">
      <c r="B323" s="16"/>
      <c r="C323" s="3"/>
      <c r="D323" s="3"/>
      <c r="E323" s="3"/>
      <c r="F323" s="46"/>
      <c r="G323" s="3"/>
      <c r="H323" s="3"/>
      <c r="I323" s="3"/>
      <c r="J323" s="3"/>
      <c r="K323" s="3"/>
      <c r="L323" s="3"/>
      <c r="M323" s="3"/>
      <c r="N323" s="3"/>
      <c r="O323" s="4"/>
      <c r="P323" s="3"/>
      <c r="Q323" s="3"/>
      <c r="R323" s="3"/>
      <c r="S323" s="3"/>
      <c r="T323" s="3"/>
      <c r="U323" s="16"/>
      <c r="V323" s="3"/>
      <c r="X323" s="19">
        <v>0</v>
      </c>
    </row>
    <row r="324" spans="2:24" x14ac:dyDescent="0.3">
      <c r="B324" s="16"/>
      <c r="C324" s="3"/>
      <c r="D324" s="3"/>
      <c r="E324" s="3"/>
      <c r="F324" s="46"/>
      <c r="G324" s="3"/>
      <c r="H324" s="3"/>
      <c r="I324" s="3"/>
      <c r="J324" s="3"/>
      <c r="K324" s="3"/>
      <c r="L324" s="3"/>
      <c r="M324" s="3"/>
      <c r="N324" s="3"/>
      <c r="O324" s="4"/>
      <c r="P324" s="3"/>
      <c r="Q324" s="3"/>
      <c r="R324" s="3"/>
      <c r="S324" s="3"/>
      <c r="T324" s="3"/>
      <c r="U324" s="16"/>
      <c r="V324" s="3"/>
      <c r="X324" s="19">
        <v>0</v>
      </c>
    </row>
    <row r="325" spans="2:24" x14ac:dyDescent="0.3">
      <c r="B325" s="16"/>
      <c r="C325" s="3"/>
      <c r="D325" s="3"/>
      <c r="E325" s="3"/>
      <c r="F325" s="46"/>
      <c r="G325" s="3"/>
      <c r="H325" s="3"/>
      <c r="I325" s="3"/>
      <c r="J325" s="3"/>
      <c r="K325" s="3"/>
      <c r="L325" s="3"/>
      <c r="M325" s="3"/>
      <c r="N325" s="3"/>
      <c r="O325" s="4"/>
      <c r="P325" s="3"/>
      <c r="Q325" s="3"/>
      <c r="R325" s="3"/>
      <c r="S325" s="3"/>
      <c r="T325" s="3"/>
      <c r="U325" s="16"/>
      <c r="V325" s="3"/>
      <c r="X325" s="19">
        <v>0</v>
      </c>
    </row>
    <row r="326" spans="2:24" x14ac:dyDescent="0.3">
      <c r="B326" s="16"/>
      <c r="C326" s="3"/>
      <c r="D326" s="3"/>
      <c r="E326" s="3"/>
      <c r="F326" s="46"/>
      <c r="G326" s="3"/>
      <c r="H326" s="3"/>
      <c r="I326" s="3"/>
      <c r="J326" s="3"/>
      <c r="K326" s="3"/>
      <c r="L326" s="3"/>
      <c r="M326" s="3"/>
      <c r="N326" s="3"/>
      <c r="O326" s="4"/>
      <c r="P326" s="3"/>
      <c r="Q326" s="3"/>
      <c r="R326" s="3"/>
      <c r="S326" s="3"/>
      <c r="T326" s="3"/>
      <c r="U326" s="16"/>
      <c r="V326" s="3"/>
      <c r="X326" s="19">
        <v>0</v>
      </c>
    </row>
    <row r="327" spans="2:24" x14ac:dyDescent="0.3">
      <c r="B327" s="16"/>
      <c r="C327" s="3"/>
      <c r="D327" s="3"/>
      <c r="E327" s="3"/>
      <c r="F327" s="46"/>
      <c r="G327" s="3"/>
      <c r="H327" s="3"/>
      <c r="I327" s="3"/>
      <c r="J327" s="3"/>
      <c r="K327" s="3"/>
      <c r="L327" s="3"/>
      <c r="M327" s="3"/>
      <c r="N327" s="3"/>
      <c r="O327" s="4"/>
      <c r="P327" s="3"/>
      <c r="Q327" s="3"/>
      <c r="R327" s="3"/>
      <c r="S327" s="3"/>
      <c r="T327" s="3"/>
      <c r="U327" s="16"/>
      <c r="V327" s="3"/>
      <c r="X327" s="19">
        <v>0</v>
      </c>
    </row>
    <row r="328" spans="2:24" x14ac:dyDescent="0.3">
      <c r="B328" s="16"/>
      <c r="C328" s="3"/>
      <c r="D328" s="3"/>
      <c r="E328" s="3"/>
      <c r="F328" s="46"/>
      <c r="G328" s="3"/>
      <c r="H328" s="3"/>
      <c r="I328" s="3"/>
      <c r="J328" s="3"/>
      <c r="K328" s="3"/>
      <c r="L328" s="3"/>
      <c r="M328" s="3"/>
      <c r="N328" s="3"/>
      <c r="O328" s="4"/>
      <c r="P328" s="3"/>
      <c r="Q328" s="3"/>
      <c r="R328" s="3"/>
      <c r="S328" s="3"/>
      <c r="T328" s="3"/>
      <c r="U328" s="16"/>
      <c r="V328" s="3"/>
      <c r="X328" s="19">
        <v>0</v>
      </c>
    </row>
    <row r="329" spans="2:24" x14ac:dyDescent="0.3">
      <c r="B329" s="16"/>
      <c r="C329" s="3"/>
      <c r="D329" s="3"/>
      <c r="E329" s="3"/>
      <c r="F329" s="46"/>
      <c r="G329" s="3"/>
      <c r="H329" s="3"/>
      <c r="I329" s="3"/>
      <c r="J329" s="3"/>
      <c r="K329" s="3"/>
      <c r="L329" s="3"/>
      <c r="M329" s="3"/>
      <c r="N329" s="3"/>
      <c r="O329" s="4"/>
      <c r="P329" s="3"/>
      <c r="Q329" s="3"/>
      <c r="R329" s="3"/>
      <c r="S329" s="3"/>
      <c r="T329" s="3"/>
      <c r="U329" s="16"/>
      <c r="V329" s="3"/>
      <c r="X329" s="19">
        <v>0</v>
      </c>
    </row>
    <row r="330" spans="2:24" x14ac:dyDescent="0.3">
      <c r="B330" s="16"/>
      <c r="C330" s="3"/>
      <c r="D330" s="3"/>
      <c r="E330" s="3"/>
      <c r="F330" s="46"/>
      <c r="G330" s="3"/>
      <c r="H330" s="3"/>
      <c r="I330" s="3"/>
      <c r="J330" s="3"/>
      <c r="K330" s="3"/>
      <c r="L330" s="3"/>
      <c r="M330" s="3"/>
      <c r="N330" s="3"/>
      <c r="O330" s="4"/>
      <c r="P330" s="3"/>
      <c r="Q330" s="3"/>
      <c r="R330" s="3"/>
      <c r="S330" s="3"/>
      <c r="T330" s="3"/>
      <c r="U330" s="16"/>
      <c r="V330" s="3"/>
      <c r="X330" s="19">
        <v>0</v>
      </c>
    </row>
    <row r="331" spans="2:24" x14ac:dyDescent="0.3">
      <c r="B331" s="16"/>
      <c r="C331" s="3"/>
      <c r="D331" s="3"/>
      <c r="E331" s="3"/>
      <c r="F331" s="46"/>
      <c r="G331" s="3"/>
      <c r="H331" s="3"/>
      <c r="I331" s="3"/>
      <c r="J331" s="3"/>
      <c r="K331" s="3"/>
      <c r="L331" s="3"/>
      <c r="M331" s="3"/>
      <c r="N331" s="3"/>
      <c r="O331" s="4"/>
      <c r="P331" s="3"/>
      <c r="Q331" s="3"/>
      <c r="R331" s="3"/>
      <c r="S331" s="3"/>
      <c r="T331" s="3"/>
      <c r="U331" s="16"/>
      <c r="V331" s="3"/>
      <c r="X331" s="19">
        <v>0</v>
      </c>
    </row>
    <row r="332" spans="2:24" x14ac:dyDescent="0.3">
      <c r="B332" s="16"/>
      <c r="C332" s="3"/>
      <c r="D332" s="3"/>
      <c r="E332" s="3"/>
      <c r="F332" s="46"/>
      <c r="G332" s="3"/>
      <c r="H332" s="3"/>
      <c r="I332" s="3"/>
      <c r="J332" s="3"/>
      <c r="K332" s="3"/>
      <c r="L332" s="3"/>
      <c r="M332" s="3"/>
      <c r="N332" s="3"/>
      <c r="O332" s="4"/>
      <c r="P332" s="3"/>
      <c r="Q332" s="3"/>
      <c r="R332" s="3"/>
      <c r="S332" s="3"/>
      <c r="T332" s="3"/>
      <c r="U332" s="16"/>
      <c r="V332" s="3"/>
      <c r="X332" s="19">
        <v>0</v>
      </c>
    </row>
    <row r="333" spans="2:24" x14ac:dyDescent="0.3">
      <c r="B333" s="16"/>
      <c r="C333" s="3"/>
      <c r="D333" s="3"/>
      <c r="E333" s="3"/>
      <c r="F333" s="46"/>
      <c r="G333" s="3"/>
      <c r="H333" s="3"/>
      <c r="I333" s="3"/>
      <c r="J333" s="3"/>
      <c r="K333" s="3"/>
      <c r="L333" s="3"/>
      <c r="M333" s="3"/>
      <c r="N333" s="3"/>
      <c r="O333" s="4"/>
      <c r="P333" s="3"/>
      <c r="Q333" s="3"/>
      <c r="R333" s="3"/>
      <c r="S333" s="3"/>
      <c r="T333" s="3"/>
      <c r="U333" s="16"/>
      <c r="V333" s="3"/>
      <c r="X333" s="19">
        <v>0</v>
      </c>
    </row>
    <row r="334" spans="2:24" x14ac:dyDescent="0.3">
      <c r="B334" s="16"/>
      <c r="C334" s="3"/>
      <c r="D334" s="3"/>
      <c r="E334" s="3"/>
      <c r="F334" s="46"/>
      <c r="G334" s="3"/>
      <c r="H334" s="3"/>
      <c r="I334" s="3"/>
      <c r="J334" s="3"/>
      <c r="K334" s="3"/>
      <c r="L334" s="3"/>
      <c r="M334" s="3"/>
      <c r="N334" s="3"/>
      <c r="O334" s="4"/>
      <c r="P334" s="3"/>
      <c r="Q334" s="3"/>
      <c r="R334" s="3"/>
      <c r="S334" s="3"/>
      <c r="T334" s="3"/>
      <c r="U334" s="16"/>
      <c r="V334" s="3"/>
      <c r="X334" s="19">
        <v>0</v>
      </c>
    </row>
    <row r="335" spans="2:24" x14ac:dyDescent="0.3">
      <c r="B335" s="16"/>
      <c r="C335" s="3"/>
      <c r="D335" s="3"/>
      <c r="E335" s="3"/>
      <c r="F335" s="46"/>
      <c r="G335" s="3"/>
      <c r="H335" s="3"/>
      <c r="I335" s="3"/>
      <c r="J335" s="3"/>
      <c r="K335" s="3"/>
      <c r="L335" s="3"/>
      <c r="M335" s="3"/>
      <c r="N335" s="3"/>
      <c r="O335" s="4"/>
      <c r="P335" s="3"/>
      <c r="Q335" s="3"/>
      <c r="R335" s="3"/>
      <c r="S335" s="3"/>
      <c r="T335" s="3"/>
      <c r="U335" s="16"/>
      <c r="V335" s="3"/>
      <c r="X335" s="19">
        <v>0</v>
      </c>
    </row>
    <row r="336" spans="2:24" x14ac:dyDescent="0.3">
      <c r="B336" s="16"/>
      <c r="C336" s="3"/>
      <c r="D336" s="3"/>
      <c r="E336" s="3"/>
      <c r="F336" s="46"/>
      <c r="G336" s="3"/>
      <c r="H336" s="3"/>
      <c r="I336" s="3"/>
      <c r="J336" s="3"/>
      <c r="K336" s="3"/>
      <c r="L336" s="3"/>
      <c r="M336" s="3"/>
      <c r="N336" s="3"/>
      <c r="O336" s="4"/>
      <c r="P336" s="3"/>
      <c r="Q336" s="3"/>
      <c r="R336" s="3"/>
      <c r="S336" s="3"/>
      <c r="T336" s="3"/>
      <c r="U336" s="16"/>
      <c r="V336" s="3"/>
      <c r="X336" s="19">
        <v>0</v>
      </c>
    </row>
    <row r="337" spans="2:24" x14ac:dyDescent="0.3">
      <c r="B337" s="16"/>
      <c r="C337" s="3"/>
      <c r="D337" s="3"/>
      <c r="E337" s="3"/>
      <c r="F337" s="46"/>
      <c r="G337" s="3"/>
      <c r="H337" s="3"/>
      <c r="I337" s="3"/>
      <c r="J337" s="3"/>
      <c r="K337" s="3"/>
      <c r="L337" s="3"/>
      <c r="M337" s="3"/>
      <c r="N337" s="3"/>
      <c r="O337" s="4"/>
      <c r="P337" s="3"/>
      <c r="Q337" s="3"/>
      <c r="R337" s="3"/>
      <c r="S337" s="3"/>
      <c r="T337" s="3"/>
      <c r="U337" s="16"/>
      <c r="V337" s="3"/>
      <c r="X337" s="19">
        <v>0</v>
      </c>
    </row>
    <row r="338" spans="2:24" x14ac:dyDescent="0.3">
      <c r="B338" s="16"/>
      <c r="C338" s="3"/>
      <c r="D338" s="3"/>
      <c r="E338" s="3"/>
      <c r="F338" s="46"/>
      <c r="G338" s="3"/>
      <c r="H338" s="3"/>
      <c r="I338" s="3"/>
      <c r="J338" s="3"/>
      <c r="K338" s="3"/>
      <c r="L338" s="3"/>
      <c r="M338" s="3"/>
      <c r="N338" s="3"/>
      <c r="O338" s="4"/>
      <c r="P338" s="3"/>
      <c r="Q338" s="3"/>
      <c r="R338" s="3"/>
      <c r="S338" s="3"/>
      <c r="T338" s="3"/>
      <c r="U338" s="16"/>
      <c r="V338" s="3"/>
      <c r="X338" s="19">
        <v>0</v>
      </c>
    </row>
    <row r="339" spans="2:24" x14ac:dyDescent="0.3">
      <c r="B339" s="16"/>
      <c r="C339" s="3"/>
      <c r="D339" s="3"/>
      <c r="E339" s="3"/>
      <c r="F339" s="46"/>
      <c r="G339" s="3"/>
      <c r="H339" s="3"/>
      <c r="I339" s="3"/>
      <c r="J339" s="3"/>
      <c r="K339" s="3"/>
      <c r="L339" s="3"/>
      <c r="M339" s="3"/>
      <c r="N339" s="3"/>
      <c r="O339" s="4"/>
      <c r="P339" s="3"/>
      <c r="Q339" s="3"/>
      <c r="R339" s="3"/>
      <c r="S339" s="3"/>
      <c r="T339" s="3"/>
      <c r="U339" s="16"/>
      <c r="V339" s="3"/>
      <c r="X339" s="19">
        <v>0</v>
      </c>
    </row>
    <row r="340" spans="2:24" x14ac:dyDescent="0.3">
      <c r="B340" s="16"/>
      <c r="C340" s="3"/>
      <c r="D340" s="3"/>
      <c r="E340" s="3"/>
      <c r="F340" s="46"/>
      <c r="G340" s="3"/>
      <c r="H340" s="3"/>
      <c r="I340" s="3"/>
      <c r="J340" s="3"/>
      <c r="K340" s="3"/>
      <c r="L340" s="3"/>
      <c r="M340" s="3"/>
      <c r="N340" s="3"/>
      <c r="O340" s="4"/>
      <c r="P340" s="3"/>
      <c r="Q340" s="3"/>
      <c r="R340" s="3"/>
      <c r="S340" s="3"/>
      <c r="T340" s="3"/>
      <c r="U340" s="16"/>
      <c r="V340" s="3"/>
      <c r="X340" s="19">
        <v>0</v>
      </c>
    </row>
    <row r="341" spans="2:24" x14ac:dyDescent="0.3">
      <c r="B341" s="16"/>
      <c r="C341" s="3"/>
      <c r="D341" s="3"/>
      <c r="E341" s="3"/>
      <c r="F341" s="46"/>
      <c r="G341" s="3"/>
      <c r="H341" s="3"/>
      <c r="I341" s="3"/>
      <c r="J341" s="3"/>
      <c r="K341" s="3"/>
      <c r="L341" s="3"/>
      <c r="M341" s="3"/>
      <c r="N341" s="3"/>
      <c r="O341" s="4"/>
      <c r="P341" s="3"/>
      <c r="Q341" s="3"/>
      <c r="R341" s="3"/>
      <c r="S341" s="3"/>
      <c r="T341" s="3"/>
      <c r="U341" s="16"/>
      <c r="V341" s="3"/>
      <c r="X341" s="19">
        <v>0</v>
      </c>
    </row>
    <row r="342" spans="2:24" x14ac:dyDescent="0.3">
      <c r="B342" s="16"/>
      <c r="C342" s="3"/>
      <c r="D342" s="3"/>
      <c r="E342" s="3"/>
      <c r="F342" s="46"/>
      <c r="G342" s="3"/>
      <c r="H342" s="3"/>
      <c r="I342" s="3"/>
      <c r="J342" s="3"/>
      <c r="K342" s="3"/>
      <c r="L342" s="3"/>
      <c r="M342" s="3"/>
      <c r="N342" s="3"/>
      <c r="O342" s="4"/>
      <c r="P342" s="3"/>
      <c r="Q342" s="3"/>
      <c r="R342" s="3"/>
      <c r="S342" s="3"/>
      <c r="T342" s="3"/>
      <c r="U342" s="16"/>
      <c r="V342" s="3"/>
      <c r="X342" s="19">
        <v>0</v>
      </c>
    </row>
    <row r="343" spans="2:24" x14ac:dyDescent="0.3">
      <c r="B343" s="16"/>
      <c r="C343" s="3"/>
      <c r="D343" s="3"/>
      <c r="E343" s="3"/>
      <c r="F343" s="46"/>
      <c r="G343" s="3"/>
      <c r="H343" s="3"/>
      <c r="I343" s="3"/>
      <c r="J343" s="3"/>
      <c r="K343" s="3"/>
      <c r="L343" s="3"/>
      <c r="M343" s="3"/>
      <c r="N343" s="3"/>
      <c r="O343" s="4"/>
      <c r="P343" s="3"/>
      <c r="Q343" s="3"/>
      <c r="R343" s="3"/>
      <c r="S343" s="3"/>
      <c r="T343" s="3"/>
      <c r="U343" s="16"/>
      <c r="V343" s="3"/>
      <c r="X343" s="19">
        <v>0</v>
      </c>
    </row>
    <row r="344" spans="2:24" x14ac:dyDescent="0.3">
      <c r="B344" s="16"/>
      <c r="C344" s="3"/>
      <c r="D344" s="3"/>
      <c r="E344" s="3"/>
      <c r="F344" s="46"/>
      <c r="G344" s="3"/>
      <c r="H344" s="3"/>
      <c r="I344" s="3"/>
      <c r="J344" s="3"/>
      <c r="K344" s="3"/>
      <c r="L344" s="3"/>
      <c r="M344" s="3"/>
      <c r="N344" s="3"/>
      <c r="O344" s="4"/>
      <c r="P344" s="3"/>
      <c r="Q344" s="3"/>
      <c r="R344" s="3"/>
      <c r="S344" s="3"/>
      <c r="T344" s="3"/>
      <c r="U344" s="16"/>
      <c r="V344" s="3"/>
      <c r="X344" s="19">
        <v>0</v>
      </c>
    </row>
    <row r="345" spans="2:24" x14ac:dyDescent="0.3">
      <c r="B345" s="16"/>
      <c r="C345" s="3"/>
      <c r="D345" s="3"/>
      <c r="E345" s="3"/>
      <c r="F345" s="46"/>
      <c r="G345" s="3"/>
      <c r="H345" s="3"/>
      <c r="I345" s="3"/>
      <c r="J345" s="3"/>
      <c r="K345" s="3"/>
      <c r="L345" s="3"/>
      <c r="M345" s="3"/>
      <c r="N345" s="3"/>
      <c r="O345" s="4"/>
      <c r="P345" s="3"/>
      <c r="Q345" s="3"/>
      <c r="R345" s="3"/>
      <c r="S345" s="3"/>
      <c r="T345" s="3"/>
      <c r="U345" s="16"/>
      <c r="V345" s="3"/>
      <c r="X345" s="19">
        <v>0</v>
      </c>
    </row>
    <row r="346" spans="2:24" x14ac:dyDescent="0.3">
      <c r="B346" s="16"/>
      <c r="C346" s="3"/>
      <c r="D346" s="3"/>
      <c r="E346" s="3"/>
      <c r="F346" s="46"/>
      <c r="G346" s="3"/>
      <c r="H346" s="3"/>
      <c r="I346" s="3"/>
      <c r="J346" s="3"/>
      <c r="K346" s="3"/>
      <c r="L346" s="3"/>
      <c r="M346" s="3"/>
      <c r="N346" s="3"/>
      <c r="O346" s="4"/>
      <c r="P346" s="3"/>
      <c r="Q346" s="3"/>
      <c r="R346" s="3"/>
      <c r="S346" s="3"/>
      <c r="T346" s="3"/>
      <c r="U346" s="16"/>
      <c r="V346" s="3"/>
      <c r="X346" s="19">
        <v>0</v>
      </c>
    </row>
    <row r="347" spans="2:24" x14ac:dyDescent="0.3">
      <c r="B347" s="16"/>
      <c r="C347" s="3"/>
      <c r="D347" s="3"/>
      <c r="E347" s="3"/>
      <c r="F347" s="46"/>
      <c r="G347" s="3"/>
      <c r="H347" s="3"/>
      <c r="I347" s="3"/>
      <c r="J347" s="3"/>
      <c r="K347" s="3"/>
      <c r="L347" s="3"/>
      <c r="M347" s="3"/>
      <c r="N347" s="3"/>
      <c r="O347" s="4"/>
      <c r="P347" s="3"/>
      <c r="Q347" s="3"/>
      <c r="R347" s="3"/>
      <c r="S347" s="3"/>
      <c r="T347" s="3"/>
      <c r="U347" s="16"/>
      <c r="V347" s="3"/>
      <c r="X347" s="19">
        <v>0</v>
      </c>
    </row>
    <row r="348" spans="2:24" x14ac:dyDescent="0.3">
      <c r="B348" s="16"/>
      <c r="C348" s="3"/>
      <c r="D348" s="3"/>
      <c r="E348" s="3"/>
      <c r="F348" s="46"/>
      <c r="G348" s="3"/>
      <c r="H348" s="3"/>
      <c r="I348" s="3"/>
      <c r="J348" s="3"/>
      <c r="K348" s="3"/>
      <c r="L348" s="3"/>
      <c r="M348" s="3"/>
      <c r="N348" s="3"/>
      <c r="O348" s="4"/>
      <c r="P348" s="3"/>
      <c r="Q348" s="3"/>
      <c r="R348" s="3"/>
      <c r="S348" s="3"/>
      <c r="T348" s="3"/>
      <c r="U348" s="16"/>
      <c r="V348" s="3"/>
      <c r="X348" s="19">
        <v>0</v>
      </c>
    </row>
    <row r="349" spans="2:24" x14ac:dyDescent="0.3">
      <c r="B349" s="16"/>
      <c r="C349" s="3"/>
      <c r="D349" s="3"/>
      <c r="E349" s="3"/>
      <c r="F349" s="46"/>
      <c r="G349" s="3"/>
      <c r="H349" s="3"/>
      <c r="I349" s="3"/>
      <c r="J349" s="3"/>
      <c r="K349" s="3"/>
      <c r="L349" s="3"/>
      <c r="M349" s="3"/>
      <c r="N349" s="3"/>
      <c r="O349" s="4"/>
      <c r="P349" s="3"/>
      <c r="Q349" s="3"/>
      <c r="R349" s="3"/>
      <c r="S349" s="3"/>
      <c r="T349" s="3"/>
      <c r="U349" s="16"/>
      <c r="V349" s="3"/>
      <c r="X349" s="19">
        <v>0</v>
      </c>
    </row>
    <row r="350" spans="2:24" x14ac:dyDescent="0.3">
      <c r="B350" s="16"/>
      <c r="C350" s="3"/>
      <c r="D350" s="3"/>
      <c r="E350" s="3"/>
      <c r="F350" s="46"/>
      <c r="G350" s="3"/>
      <c r="H350" s="3"/>
      <c r="I350" s="3"/>
      <c r="J350" s="3"/>
      <c r="K350" s="3"/>
      <c r="L350" s="3"/>
      <c r="M350" s="3"/>
      <c r="N350" s="3"/>
      <c r="O350" s="4"/>
      <c r="P350" s="3"/>
      <c r="Q350" s="3"/>
      <c r="R350" s="3"/>
      <c r="S350" s="3"/>
      <c r="T350" s="3"/>
      <c r="U350" s="16"/>
      <c r="V350" s="3"/>
      <c r="X350" s="19">
        <v>0</v>
      </c>
    </row>
    <row r="351" spans="2:24" x14ac:dyDescent="0.3">
      <c r="B351" s="16"/>
      <c r="C351" s="3"/>
      <c r="D351" s="3"/>
      <c r="E351" s="3"/>
      <c r="F351" s="46"/>
      <c r="G351" s="3"/>
      <c r="H351" s="3"/>
      <c r="I351" s="3"/>
      <c r="J351" s="3"/>
      <c r="K351" s="3"/>
      <c r="L351" s="3"/>
      <c r="M351" s="3"/>
      <c r="N351" s="3"/>
      <c r="O351" s="4"/>
      <c r="P351" s="3"/>
      <c r="Q351" s="3"/>
      <c r="R351" s="3"/>
      <c r="S351" s="3"/>
      <c r="T351" s="3"/>
      <c r="U351" s="16"/>
      <c r="V351" s="3"/>
      <c r="X351" s="19">
        <v>0</v>
      </c>
    </row>
    <row r="352" spans="2:24" x14ac:dyDescent="0.3">
      <c r="B352" s="16"/>
      <c r="C352" s="3"/>
      <c r="D352" s="3"/>
      <c r="E352" s="3"/>
      <c r="F352" s="46"/>
      <c r="G352" s="3"/>
      <c r="H352" s="3"/>
      <c r="I352" s="3"/>
      <c r="J352" s="3"/>
      <c r="K352" s="3"/>
      <c r="L352" s="3"/>
      <c r="M352" s="3"/>
      <c r="N352" s="3"/>
      <c r="O352" s="4"/>
      <c r="P352" s="3"/>
      <c r="Q352" s="3"/>
      <c r="R352" s="3"/>
      <c r="S352" s="3"/>
      <c r="T352" s="3"/>
      <c r="U352" s="16"/>
      <c r="V352" s="3"/>
      <c r="X352" s="19">
        <v>0</v>
      </c>
    </row>
    <row r="353" spans="2:24" x14ac:dyDescent="0.3">
      <c r="B353" s="16"/>
      <c r="C353" s="3"/>
      <c r="D353" s="3"/>
      <c r="E353" s="3"/>
      <c r="F353" s="46"/>
      <c r="G353" s="3"/>
      <c r="H353" s="3"/>
      <c r="I353" s="3"/>
      <c r="J353" s="3"/>
      <c r="K353" s="3"/>
      <c r="L353" s="3"/>
      <c r="M353" s="3"/>
      <c r="N353" s="3"/>
      <c r="O353" s="4"/>
      <c r="P353" s="3"/>
      <c r="Q353" s="3"/>
      <c r="R353" s="3"/>
      <c r="S353" s="3"/>
      <c r="T353" s="3"/>
      <c r="U353" s="16"/>
      <c r="V353" s="3"/>
      <c r="X353" s="19">
        <v>0</v>
      </c>
    </row>
    <row r="354" spans="2:24" x14ac:dyDescent="0.3">
      <c r="B354" s="16"/>
      <c r="C354" s="3"/>
      <c r="D354" s="3"/>
      <c r="E354" s="3"/>
      <c r="F354" s="46"/>
      <c r="G354" s="3"/>
      <c r="H354" s="3"/>
      <c r="I354" s="3"/>
      <c r="J354" s="3"/>
      <c r="K354" s="3"/>
      <c r="L354" s="3"/>
      <c r="M354" s="3"/>
      <c r="N354" s="3"/>
      <c r="O354" s="4"/>
      <c r="P354" s="3"/>
      <c r="Q354" s="3"/>
      <c r="R354" s="3"/>
      <c r="S354" s="3"/>
      <c r="T354" s="3"/>
      <c r="U354" s="16"/>
      <c r="V354" s="3"/>
      <c r="X354" s="19">
        <v>0</v>
      </c>
    </row>
    <row r="355" spans="2:24" x14ac:dyDescent="0.3">
      <c r="B355" s="16"/>
      <c r="C355" s="3"/>
      <c r="D355" s="3"/>
      <c r="E355" s="3"/>
      <c r="F355" s="46"/>
      <c r="G355" s="3"/>
      <c r="H355" s="3"/>
      <c r="I355" s="3"/>
      <c r="J355" s="3"/>
      <c r="K355" s="3"/>
      <c r="L355" s="3"/>
      <c r="M355" s="3"/>
      <c r="N355" s="3"/>
      <c r="O355" s="4"/>
      <c r="P355" s="3"/>
      <c r="Q355" s="3"/>
      <c r="R355" s="3"/>
      <c r="S355" s="3"/>
      <c r="T355" s="3"/>
      <c r="U355" s="16"/>
      <c r="V355" s="3"/>
      <c r="X355" s="19">
        <v>0</v>
      </c>
    </row>
    <row r="356" spans="2:24" x14ac:dyDescent="0.3">
      <c r="B356" s="16"/>
      <c r="C356" s="3"/>
      <c r="D356" s="3"/>
      <c r="E356" s="3"/>
      <c r="F356" s="46"/>
      <c r="G356" s="3"/>
      <c r="H356" s="3"/>
      <c r="I356" s="3"/>
      <c r="J356" s="3"/>
      <c r="K356" s="3"/>
      <c r="L356" s="3"/>
      <c r="M356" s="3"/>
      <c r="N356" s="3"/>
      <c r="O356" s="4"/>
      <c r="P356" s="3"/>
      <c r="Q356" s="3"/>
      <c r="R356" s="3"/>
      <c r="S356" s="3"/>
      <c r="T356" s="3"/>
      <c r="U356" s="16"/>
      <c r="V356" s="3"/>
      <c r="X356" s="19">
        <v>0</v>
      </c>
    </row>
    <row r="357" spans="2:24" x14ac:dyDescent="0.3">
      <c r="B357" s="16"/>
      <c r="C357" s="3"/>
      <c r="D357" s="3"/>
      <c r="E357" s="3"/>
      <c r="F357" s="46"/>
      <c r="G357" s="3"/>
      <c r="H357" s="3"/>
      <c r="I357" s="3"/>
      <c r="J357" s="3"/>
      <c r="K357" s="3"/>
      <c r="L357" s="3"/>
      <c r="M357" s="3"/>
      <c r="N357" s="3"/>
      <c r="O357" s="4"/>
      <c r="P357" s="3"/>
      <c r="Q357" s="3"/>
      <c r="R357" s="3"/>
      <c r="S357" s="3"/>
      <c r="T357" s="3"/>
      <c r="U357" s="16"/>
      <c r="V357" s="3"/>
      <c r="X357" s="19">
        <v>0</v>
      </c>
    </row>
    <row r="358" spans="2:24" x14ac:dyDescent="0.3">
      <c r="B358" s="16"/>
      <c r="C358" s="3"/>
      <c r="D358" s="3"/>
      <c r="E358" s="3"/>
      <c r="F358" s="46"/>
      <c r="G358" s="3"/>
      <c r="H358" s="3"/>
      <c r="I358" s="3"/>
      <c r="J358" s="3"/>
      <c r="K358" s="3"/>
      <c r="L358" s="3"/>
      <c r="M358" s="3"/>
      <c r="N358" s="3"/>
      <c r="O358" s="4"/>
      <c r="P358" s="3"/>
      <c r="Q358" s="3"/>
      <c r="R358" s="3"/>
      <c r="S358" s="3"/>
      <c r="T358" s="3"/>
      <c r="U358" s="16"/>
      <c r="V358" s="3"/>
      <c r="X358" s="19">
        <v>0</v>
      </c>
    </row>
    <row r="359" spans="2:24" x14ac:dyDescent="0.3">
      <c r="B359" s="16"/>
      <c r="C359" s="3"/>
      <c r="D359" s="3"/>
      <c r="E359" s="3"/>
      <c r="F359" s="46"/>
      <c r="G359" s="3"/>
      <c r="H359" s="3"/>
      <c r="I359" s="3"/>
      <c r="J359" s="3"/>
      <c r="K359" s="3"/>
      <c r="L359" s="3"/>
      <c r="M359" s="3"/>
      <c r="N359" s="3"/>
      <c r="O359" s="4"/>
      <c r="P359" s="3"/>
      <c r="Q359" s="3"/>
      <c r="R359" s="3"/>
      <c r="S359" s="3"/>
      <c r="T359" s="3"/>
      <c r="U359" s="16"/>
      <c r="V359" s="3"/>
      <c r="X359" s="19">
        <v>0</v>
      </c>
    </row>
    <row r="360" spans="2:24" x14ac:dyDescent="0.3">
      <c r="B360" s="16"/>
      <c r="C360" s="3"/>
      <c r="D360" s="3"/>
      <c r="E360" s="3"/>
      <c r="F360" s="46"/>
      <c r="G360" s="3"/>
      <c r="H360" s="3"/>
      <c r="I360" s="3"/>
      <c r="J360" s="3"/>
      <c r="K360" s="3"/>
      <c r="L360" s="3"/>
      <c r="M360" s="3"/>
      <c r="N360" s="3"/>
      <c r="O360" s="4"/>
      <c r="P360" s="3"/>
      <c r="Q360" s="3"/>
      <c r="R360" s="3"/>
      <c r="S360" s="3"/>
      <c r="T360" s="3"/>
      <c r="U360" s="16"/>
      <c r="V360" s="3"/>
      <c r="X360" s="19">
        <v>0</v>
      </c>
    </row>
    <row r="361" spans="2:24" x14ac:dyDescent="0.3">
      <c r="B361" s="16"/>
      <c r="C361" s="3"/>
      <c r="D361" s="3"/>
      <c r="E361" s="3"/>
      <c r="F361" s="46"/>
      <c r="G361" s="3"/>
      <c r="H361" s="3"/>
      <c r="I361" s="3"/>
      <c r="J361" s="3"/>
      <c r="K361" s="3"/>
      <c r="L361" s="3"/>
      <c r="M361" s="3"/>
      <c r="N361" s="3"/>
      <c r="O361" s="4"/>
      <c r="P361" s="3"/>
      <c r="Q361" s="3"/>
      <c r="R361" s="3"/>
      <c r="S361" s="3"/>
      <c r="T361" s="3"/>
      <c r="U361" s="16"/>
      <c r="V361" s="3"/>
      <c r="X361" s="19">
        <v>0</v>
      </c>
    </row>
    <row r="362" spans="2:24" x14ac:dyDescent="0.3">
      <c r="B362" s="16"/>
      <c r="C362" s="3"/>
      <c r="D362" s="3"/>
      <c r="E362" s="3"/>
      <c r="F362" s="46"/>
      <c r="G362" s="3"/>
      <c r="H362" s="3"/>
      <c r="I362" s="3"/>
      <c r="J362" s="3"/>
      <c r="K362" s="3"/>
      <c r="L362" s="3"/>
      <c r="M362" s="3"/>
      <c r="N362" s="3"/>
      <c r="O362" s="4"/>
      <c r="P362" s="3"/>
      <c r="Q362" s="3"/>
      <c r="R362" s="3"/>
      <c r="S362" s="3"/>
      <c r="T362" s="3"/>
      <c r="U362" s="16"/>
      <c r="V362" s="3"/>
      <c r="X362" s="19">
        <v>0</v>
      </c>
    </row>
    <row r="363" spans="2:24" x14ac:dyDescent="0.3">
      <c r="B363" s="16"/>
      <c r="C363" s="3"/>
      <c r="D363" s="3"/>
      <c r="E363" s="3"/>
      <c r="F363" s="46"/>
      <c r="G363" s="3"/>
      <c r="H363" s="3"/>
      <c r="I363" s="3"/>
      <c r="J363" s="3"/>
      <c r="K363" s="3"/>
      <c r="L363" s="3"/>
      <c r="M363" s="3"/>
      <c r="N363" s="3"/>
      <c r="O363" s="4"/>
      <c r="P363" s="3"/>
      <c r="Q363" s="3"/>
      <c r="R363" s="3"/>
      <c r="S363" s="3"/>
      <c r="T363" s="3"/>
      <c r="U363" s="16"/>
      <c r="V363" s="3"/>
      <c r="X363" s="19">
        <v>0</v>
      </c>
    </row>
    <row r="364" spans="2:24" x14ac:dyDescent="0.3">
      <c r="B364" s="16"/>
      <c r="C364" s="3"/>
      <c r="D364" s="3"/>
      <c r="E364" s="3"/>
      <c r="F364" s="46"/>
      <c r="G364" s="3"/>
      <c r="H364" s="3"/>
      <c r="I364" s="3"/>
      <c r="J364" s="3"/>
      <c r="K364" s="3"/>
      <c r="L364" s="3"/>
      <c r="M364" s="3"/>
      <c r="N364" s="3"/>
      <c r="O364" s="4"/>
      <c r="P364" s="3"/>
      <c r="Q364" s="3"/>
      <c r="R364" s="3"/>
      <c r="S364" s="3"/>
      <c r="T364" s="3"/>
      <c r="U364" s="16"/>
      <c r="V364" s="3"/>
      <c r="X364" s="19">
        <v>0</v>
      </c>
    </row>
    <row r="365" spans="2:24" x14ac:dyDescent="0.3">
      <c r="B365" s="16"/>
      <c r="C365" s="3"/>
      <c r="D365" s="3"/>
      <c r="E365" s="3"/>
      <c r="F365" s="46"/>
      <c r="G365" s="3"/>
      <c r="H365" s="3"/>
      <c r="I365" s="3"/>
      <c r="J365" s="3"/>
      <c r="K365" s="3"/>
      <c r="L365" s="3"/>
      <c r="M365" s="3"/>
      <c r="N365" s="3"/>
      <c r="O365" s="4"/>
      <c r="P365" s="3"/>
      <c r="Q365" s="3"/>
      <c r="R365" s="3"/>
      <c r="S365" s="3"/>
      <c r="T365" s="3"/>
      <c r="U365" s="16"/>
      <c r="V365" s="3"/>
      <c r="X365" s="19">
        <v>0</v>
      </c>
    </row>
    <row r="366" spans="2:24" x14ac:dyDescent="0.3">
      <c r="B366" s="16"/>
      <c r="C366" s="3"/>
      <c r="D366" s="3"/>
      <c r="E366" s="3"/>
      <c r="F366" s="46"/>
      <c r="G366" s="3"/>
      <c r="H366" s="3"/>
      <c r="I366" s="3"/>
      <c r="J366" s="3"/>
      <c r="K366" s="3"/>
      <c r="L366" s="3"/>
      <c r="M366" s="3"/>
      <c r="N366" s="3"/>
      <c r="O366" s="4"/>
      <c r="P366" s="3"/>
      <c r="Q366" s="3"/>
      <c r="R366" s="3"/>
      <c r="S366" s="3"/>
      <c r="T366" s="3"/>
      <c r="U366" s="16"/>
      <c r="V366" s="3"/>
      <c r="X366" s="19">
        <v>0</v>
      </c>
    </row>
    <row r="367" spans="2:24" x14ac:dyDescent="0.3">
      <c r="B367" s="16"/>
      <c r="C367" s="3"/>
      <c r="D367" s="3"/>
      <c r="E367" s="3"/>
      <c r="F367" s="46"/>
      <c r="G367" s="3"/>
      <c r="H367" s="3"/>
      <c r="I367" s="3"/>
      <c r="J367" s="3"/>
      <c r="K367" s="3"/>
      <c r="L367" s="3"/>
      <c r="M367" s="3"/>
      <c r="N367" s="3"/>
      <c r="O367" s="4"/>
      <c r="P367" s="3"/>
      <c r="Q367" s="3"/>
      <c r="R367" s="3"/>
      <c r="S367" s="3"/>
      <c r="T367" s="3"/>
      <c r="U367" s="16"/>
      <c r="V367" s="3"/>
      <c r="X367" s="19">
        <v>0</v>
      </c>
    </row>
    <row r="368" spans="2:24" x14ac:dyDescent="0.3">
      <c r="B368" s="16"/>
      <c r="C368" s="3"/>
      <c r="D368" s="3"/>
      <c r="E368" s="3"/>
      <c r="F368" s="46"/>
      <c r="G368" s="3"/>
      <c r="H368" s="3"/>
      <c r="I368" s="3"/>
      <c r="J368" s="3"/>
      <c r="K368" s="3"/>
      <c r="L368" s="3"/>
      <c r="M368" s="3"/>
      <c r="N368" s="3"/>
      <c r="O368" s="4"/>
      <c r="P368" s="3"/>
      <c r="Q368" s="3"/>
      <c r="R368" s="3"/>
      <c r="S368" s="3"/>
      <c r="T368" s="3"/>
      <c r="U368" s="16"/>
      <c r="V368" s="3"/>
      <c r="X368" s="19">
        <v>0</v>
      </c>
    </row>
    <row r="369" spans="2:24" x14ac:dyDescent="0.3">
      <c r="B369" s="16"/>
      <c r="C369" s="3"/>
      <c r="D369" s="3"/>
      <c r="E369" s="3"/>
      <c r="F369" s="46"/>
      <c r="G369" s="3"/>
      <c r="H369" s="3"/>
      <c r="I369" s="3"/>
      <c r="J369" s="3"/>
      <c r="K369" s="3"/>
      <c r="L369" s="3"/>
      <c r="M369" s="3"/>
      <c r="N369" s="3"/>
      <c r="O369" s="4"/>
      <c r="P369" s="3"/>
      <c r="Q369" s="3"/>
      <c r="R369" s="3"/>
      <c r="S369" s="3"/>
      <c r="T369" s="3"/>
      <c r="U369" s="16"/>
      <c r="V369" s="3"/>
      <c r="X369" s="19">
        <v>0</v>
      </c>
    </row>
    <row r="370" spans="2:24" x14ac:dyDescent="0.3">
      <c r="B370" s="16"/>
      <c r="C370" s="3"/>
      <c r="D370" s="3"/>
      <c r="E370" s="3"/>
      <c r="F370" s="46"/>
      <c r="G370" s="3"/>
      <c r="H370" s="3"/>
      <c r="I370" s="3"/>
      <c r="J370" s="3"/>
      <c r="K370" s="3"/>
      <c r="L370" s="3"/>
      <c r="M370" s="3"/>
      <c r="N370" s="3"/>
      <c r="O370" s="4"/>
      <c r="P370" s="3"/>
      <c r="Q370" s="3"/>
      <c r="R370" s="3"/>
      <c r="S370" s="3"/>
      <c r="T370" s="3"/>
      <c r="U370" s="16"/>
      <c r="V370" s="3"/>
      <c r="X370" s="19">
        <v>0</v>
      </c>
    </row>
    <row r="371" spans="2:24" x14ac:dyDescent="0.3">
      <c r="B371" s="16"/>
      <c r="C371" s="3"/>
      <c r="D371" s="3"/>
      <c r="E371" s="3"/>
      <c r="F371" s="46"/>
      <c r="G371" s="3"/>
      <c r="H371" s="3"/>
      <c r="I371" s="3"/>
      <c r="J371" s="3"/>
      <c r="K371" s="3"/>
      <c r="L371" s="3"/>
      <c r="M371" s="3"/>
      <c r="N371" s="3"/>
      <c r="O371" s="4"/>
      <c r="P371" s="3"/>
      <c r="Q371" s="3"/>
      <c r="R371" s="3"/>
      <c r="S371" s="3"/>
      <c r="T371" s="3"/>
      <c r="U371" s="16"/>
      <c r="V371" s="3"/>
      <c r="X371" s="19">
        <v>0</v>
      </c>
    </row>
    <row r="372" spans="2:24" x14ac:dyDescent="0.3">
      <c r="B372" s="16"/>
      <c r="C372" s="3"/>
      <c r="D372" s="3"/>
      <c r="E372" s="3"/>
      <c r="F372" s="46"/>
      <c r="G372" s="3"/>
      <c r="H372" s="3"/>
      <c r="I372" s="3"/>
      <c r="J372" s="3"/>
      <c r="K372" s="3"/>
      <c r="L372" s="3"/>
      <c r="M372" s="3"/>
      <c r="N372" s="3"/>
      <c r="O372" s="4"/>
      <c r="P372" s="3"/>
      <c r="Q372" s="3"/>
      <c r="R372" s="3"/>
      <c r="S372" s="3"/>
      <c r="T372" s="3"/>
      <c r="U372" s="16"/>
      <c r="V372" s="3"/>
      <c r="X372" s="19">
        <v>0</v>
      </c>
    </row>
    <row r="373" spans="2:24" x14ac:dyDescent="0.3">
      <c r="B373" s="16"/>
      <c r="C373" s="3"/>
      <c r="D373" s="3"/>
      <c r="E373" s="3"/>
      <c r="F373" s="46"/>
      <c r="G373" s="3"/>
      <c r="H373" s="3"/>
      <c r="I373" s="3"/>
      <c r="J373" s="3"/>
      <c r="K373" s="3"/>
      <c r="L373" s="3"/>
      <c r="M373" s="3"/>
      <c r="N373" s="3"/>
      <c r="O373" s="4"/>
      <c r="P373" s="3"/>
      <c r="Q373" s="3"/>
      <c r="R373" s="3"/>
      <c r="S373" s="3"/>
      <c r="T373" s="3"/>
      <c r="U373" s="16"/>
      <c r="V373" s="3"/>
      <c r="X373" s="19">
        <v>0</v>
      </c>
    </row>
    <row r="374" spans="2:24" x14ac:dyDescent="0.3">
      <c r="B374" s="16"/>
      <c r="C374" s="3"/>
      <c r="D374" s="3"/>
      <c r="E374" s="3"/>
      <c r="F374" s="46"/>
      <c r="G374" s="3"/>
      <c r="H374" s="3"/>
      <c r="I374" s="3"/>
      <c r="J374" s="3"/>
      <c r="K374" s="3"/>
      <c r="L374" s="3"/>
      <c r="M374" s="3"/>
      <c r="N374" s="3"/>
      <c r="O374" s="4"/>
      <c r="P374" s="3"/>
      <c r="Q374" s="3"/>
      <c r="R374" s="3"/>
      <c r="S374" s="3"/>
      <c r="T374" s="3"/>
      <c r="U374" s="16"/>
      <c r="V374" s="3"/>
      <c r="X374" s="19">
        <v>0</v>
      </c>
    </row>
    <row r="375" spans="2:24" x14ac:dyDescent="0.3">
      <c r="B375" s="16"/>
      <c r="C375" s="3"/>
      <c r="D375" s="3"/>
      <c r="E375" s="3"/>
      <c r="F375" s="46"/>
      <c r="G375" s="3"/>
      <c r="H375" s="3"/>
      <c r="I375" s="3"/>
      <c r="J375" s="3"/>
      <c r="K375" s="3"/>
      <c r="L375" s="3"/>
      <c r="M375" s="3"/>
      <c r="N375" s="3"/>
      <c r="O375" s="4"/>
      <c r="P375" s="3"/>
      <c r="Q375" s="3"/>
      <c r="R375" s="3"/>
      <c r="S375" s="3"/>
      <c r="T375" s="3"/>
      <c r="U375" s="16"/>
      <c r="V375" s="3"/>
      <c r="X375" s="19">
        <v>0</v>
      </c>
    </row>
    <row r="376" spans="2:24" x14ac:dyDescent="0.3">
      <c r="B376" s="16"/>
      <c r="C376" s="3"/>
      <c r="D376" s="3"/>
      <c r="E376" s="3"/>
      <c r="F376" s="46"/>
      <c r="G376" s="3"/>
      <c r="H376" s="3"/>
      <c r="I376" s="3"/>
      <c r="J376" s="3"/>
      <c r="K376" s="3"/>
      <c r="L376" s="3"/>
      <c r="M376" s="3"/>
      <c r="N376" s="3"/>
      <c r="O376" s="4"/>
      <c r="P376" s="3"/>
      <c r="Q376" s="3"/>
      <c r="R376" s="3"/>
      <c r="S376" s="3"/>
      <c r="T376" s="3"/>
      <c r="U376" s="16"/>
      <c r="V376" s="3"/>
      <c r="X376" s="19">
        <v>0</v>
      </c>
    </row>
    <row r="377" spans="2:24" x14ac:dyDescent="0.3">
      <c r="B377" s="16"/>
      <c r="C377" s="3"/>
      <c r="D377" s="3"/>
      <c r="E377" s="3"/>
      <c r="F377" s="46"/>
      <c r="G377" s="3"/>
      <c r="H377" s="3"/>
      <c r="I377" s="3"/>
      <c r="J377" s="3"/>
      <c r="K377" s="3"/>
      <c r="L377" s="3"/>
      <c r="M377" s="3"/>
      <c r="N377" s="3"/>
      <c r="O377" s="4"/>
      <c r="P377" s="3"/>
      <c r="Q377" s="3"/>
      <c r="R377" s="3"/>
      <c r="S377" s="3"/>
      <c r="T377" s="3"/>
      <c r="U377" s="16"/>
      <c r="V377" s="3"/>
      <c r="X377" s="19">
        <v>0</v>
      </c>
    </row>
    <row r="378" spans="2:24" x14ac:dyDescent="0.3">
      <c r="B378" s="16"/>
      <c r="C378" s="3"/>
      <c r="D378" s="3"/>
      <c r="E378" s="3"/>
      <c r="F378" s="46"/>
      <c r="G378" s="3"/>
      <c r="H378" s="3"/>
      <c r="I378" s="3"/>
      <c r="J378" s="3"/>
      <c r="K378" s="3"/>
      <c r="L378" s="3"/>
      <c r="M378" s="3"/>
      <c r="N378" s="3"/>
      <c r="O378" s="4"/>
      <c r="P378" s="3"/>
      <c r="Q378" s="3"/>
      <c r="R378" s="3"/>
      <c r="S378" s="3"/>
      <c r="T378" s="3"/>
      <c r="U378" s="16"/>
      <c r="V378" s="3"/>
      <c r="X378" s="19">
        <v>0</v>
      </c>
    </row>
    <row r="379" spans="2:24" x14ac:dyDescent="0.3">
      <c r="B379" s="16"/>
      <c r="C379" s="3"/>
      <c r="D379" s="3"/>
      <c r="E379" s="3"/>
      <c r="F379" s="46"/>
      <c r="G379" s="3"/>
      <c r="H379" s="3"/>
      <c r="I379" s="3"/>
      <c r="J379" s="3"/>
      <c r="K379" s="3"/>
      <c r="L379" s="3"/>
      <c r="M379" s="3"/>
      <c r="N379" s="3"/>
      <c r="O379" s="4"/>
      <c r="P379" s="3"/>
      <c r="Q379" s="3"/>
      <c r="R379" s="3"/>
      <c r="S379" s="3"/>
      <c r="T379" s="3"/>
      <c r="U379" s="16"/>
      <c r="V379" s="3"/>
      <c r="X379" s="19">
        <v>0</v>
      </c>
    </row>
    <row r="380" spans="2:24" x14ac:dyDescent="0.3">
      <c r="B380" s="16"/>
      <c r="C380" s="3"/>
      <c r="D380" s="3"/>
      <c r="E380" s="3"/>
      <c r="F380" s="46"/>
      <c r="G380" s="3"/>
      <c r="H380" s="3"/>
      <c r="I380" s="3"/>
      <c r="J380" s="3"/>
      <c r="K380" s="3"/>
      <c r="L380" s="3"/>
      <c r="M380" s="3"/>
      <c r="N380" s="3"/>
      <c r="O380" s="4"/>
      <c r="P380" s="3"/>
      <c r="Q380" s="3"/>
      <c r="R380" s="3"/>
      <c r="S380" s="3"/>
      <c r="T380" s="3"/>
      <c r="U380" s="16"/>
      <c r="V380" s="3"/>
      <c r="X380" s="19">
        <v>0</v>
      </c>
    </row>
    <row r="381" spans="2:24" x14ac:dyDescent="0.3">
      <c r="B381" s="16"/>
      <c r="C381" s="3"/>
      <c r="D381" s="3"/>
      <c r="E381" s="3"/>
      <c r="F381" s="46"/>
      <c r="G381" s="3"/>
      <c r="H381" s="3"/>
      <c r="I381" s="3"/>
      <c r="J381" s="3"/>
      <c r="K381" s="3"/>
      <c r="L381" s="3"/>
      <c r="M381" s="3"/>
      <c r="N381" s="3"/>
      <c r="O381" s="4"/>
      <c r="P381" s="3"/>
      <c r="Q381" s="3"/>
      <c r="R381" s="3"/>
      <c r="S381" s="3"/>
      <c r="T381" s="3"/>
      <c r="U381" s="16"/>
      <c r="V381" s="3"/>
      <c r="X381" s="19">
        <v>0</v>
      </c>
    </row>
    <row r="382" spans="2:24" x14ac:dyDescent="0.3">
      <c r="B382" s="16"/>
      <c r="C382" s="3"/>
      <c r="D382" s="3"/>
      <c r="E382" s="3"/>
      <c r="F382" s="46"/>
      <c r="G382" s="3"/>
      <c r="H382" s="3"/>
      <c r="I382" s="3"/>
      <c r="J382" s="3"/>
      <c r="K382" s="3"/>
      <c r="L382" s="3"/>
      <c r="M382" s="3"/>
      <c r="N382" s="3"/>
      <c r="O382" s="4"/>
      <c r="P382" s="3"/>
      <c r="Q382" s="3"/>
      <c r="R382" s="3"/>
      <c r="S382" s="3"/>
      <c r="T382" s="3"/>
      <c r="U382" s="16"/>
      <c r="V382" s="3"/>
      <c r="X382" s="19">
        <v>0</v>
      </c>
    </row>
    <row r="383" spans="2:24" x14ac:dyDescent="0.3">
      <c r="B383" s="16"/>
      <c r="C383" s="3"/>
      <c r="D383" s="3"/>
      <c r="E383" s="3"/>
      <c r="F383" s="46"/>
      <c r="G383" s="3"/>
      <c r="H383" s="3"/>
      <c r="I383" s="3"/>
      <c r="J383" s="3"/>
      <c r="K383" s="3"/>
      <c r="L383" s="3"/>
      <c r="M383" s="3"/>
      <c r="N383" s="3"/>
      <c r="O383" s="4"/>
      <c r="P383" s="3"/>
      <c r="Q383" s="3"/>
      <c r="R383" s="3"/>
      <c r="S383" s="3"/>
      <c r="T383" s="3"/>
      <c r="U383" s="16"/>
      <c r="V383" s="3"/>
      <c r="X383" s="19">
        <v>0</v>
      </c>
    </row>
    <row r="384" spans="2:24" x14ac:dyDescent="0.3">
      <c r="B384" s="16"/>
      <c r="C384" s="3"/>
      <c r="D384" s="3"/>
      <c r="E384" s="3"/>
      <c r="F384" s="46"/>
      <c r="G384" s="3"/>
      <c r="H384" s="3"/>
      <c r="I384" s="3"/>
      <c r="J384" s="3"/>
      <c r="K384" s="3"/>
      <c r="L384" s="3"/>
      <c r="M384" s="3"/>
      <c r="N384" s="3"/>
      <c r="O384" s="4"/>
      <c r="P384" s="3"/>
      <c r="Q384" s="3"/>
      <c r="R384" s="3"/>
      <c r="S384" s="3"/>
      <c r="T384" s="3"/>
      <c r="U384" s="16"/>
      <c r="V384" s="3"/>
      <c r="X384" s="19">
        <v>0</v>
      </c>
    </row>
    <row r="385" spans="2:24" x14ac:dyDescent="0.3">
      <c r="B385" s="16"/>
      <c r="C385" s="3"/>
      <c r="D385" s="3"/>
      <c r="E385" s="3"/>
      <c r="F385" s="46"/>
      <c r="G385" s="3"/>
      <c r="H385" s="3"/>
      <c r="I385" s="3"/>
      <c r="J385" s="3"/>
      <c r="K385" s="3"/>
      <c r="L385" s="3"/>
      <c r="M385" s="3"/>
      <c r="N385" s="3"/>
      <c r="O385" s="4"/>
      <c r="P385" s="3"/>
      <c r="Q385" s="3"/>
      <c r="R385" s="3"/>
      <c r="S385" s="3"/>
      <c r="T385" s="3"/>
      <c r="U385" s="16"/>
      <c r="V385" s="3"/>
      <c r="X385" s="19">
        <v>0</v>
      </c>
    </row>
    <row r="386" spans="2:24" x14ac:dyDescent="0.3">
      <c r="B386" s="16"/>
      <c r="C386" s="3"/>
      <c r="D386" s="3"/>
      <c r="E386" s="3"/>
      <c r="F386" s="46"/>
      <c r="G386" s="3"/>
      <c r="H386" s="3"/>
      <c r="I386" s="3"/>
      <c r="J386" s="3"/>
      <c r="K386" s="3"/>
      <c r="L386" s="3"/>
      <c r="M386" s="3"/>
      <c r="N386" s="3"/>
      <c r="O386" s="4"/>
      <c r="P386" s="3"/>
      <c r="Q386" s="3"/>
      <c r="R386" s="3"/>
      <c r="S386" s="3"/>
      <c r="T386" s="3"/>
      <c r="U386" s="16"/>
      <c r="V386" s="3"/>
      <c r="X386" s="19">
        <v>0</v>
      </c>
    </row>
    <row r="387" spans="2:24" x14ac:dyDescent="0.3">
      <c r="B387" s="16"/>
      <c r="C387" s="3"/>
      <c r="D387" s="3"/>
      <c r="E387" s="3"/>
      <c r="F387" s="46"/>
      <c r="G387" s="3"/>
      <c r="H387" s="3"/>
      <c r="I387" s="3"/>
      <c r="J387" s="3"/>
      <c r="K387" s="3"/>
      <c r="L387" s="3"/>
      <c r="M387" s="3"/>
      <c r="N387" s="3"/>
      <c r="O387" s="4"/>
      <c r="P387" s="3"/>
      <c r="Q387" s="3"/>
      <c r="R387" s="3"/>
      <c r="S387" s="3"/>
      <c r="T387" s="3"/>
      <c r="U387" s="16"/>
      <c r="V387" s="3"/>
      <c r="X387" s="19">
        <v>0</v>
      </c>
    </row>
    <row r="388" spans="2:24" x14ac:dyDescent="0.3">
      <c r="B388" s="16"/>
      <c r="C388" s="3"/>
      <c r="D388" s="3"/>
      <c r="E388" s="3"/>
      <c r="F388" s="46"/>
      <c r="G388" s="3"/>
      <c r="H388" s="3"/>
      <c r="I388" s="3"/>
      <c r="J388" s="3"/>
      <c r="K388" s="3"/>
      <c r="L388" s="3"/>
      <c r="M388" s="3"/>
      <c r="N388" s="3"/>
      <c r="O388" s="4"/>
      <c r="P388" s="3"/>
      <c r="Q388" s="3"/>
      <c r="R388" s="3"/>
      <c r="S388" s="3"/>
      <c r="T388" s="3"/>
      <c r="U388" s="16"/>
      <c r="V388" s="3"/>
      <c r="X388" s="19">
        <v>0</v>
      </c>
    </row>
    <row r="389" spans="2:24" x14ac:dyDescent="0.3">
      <c r="B389" s="16"/>
      <c r="C389" s="3"/>
      <c r="D389" s="3"/>
      <c r="E389" s="3"/>
      <c r="F389" s="46"/>
      <c r="G389" s="3"/>
      <c r="H389" s="3"/>
      <c r="I389" s="3"/>
      <c r="J389" s="3"/>
      <c r="K389" s="3"/>
      <c r="L389" s="3"/>
      <c r="M389" s="3"/>
      <c r="N389" s="3"/>
      <c r="O389" s="4"/>
      <c r="P389" s="3"/>
      <c r="Q389" s="3"/>
      <c r="R389" s="3"/>
      <c r="S389" s="3"/>
      <c r="T389" s="3"/>
      <c r="U389" s="16"/>
      <c r="V389" s="3"/>
      <c r="X389" s="19">
        <v>0</v>
      </c>
    </row>
    <row r="390" spans="2:24" x14ac:dyDescent="0.3">
      <c r="B390" s="16"/>
      <c r="C390" s="3"/>
      <c r="D390" s="3"/>
      <c r="E390" s="3"/>
      <c r="F390" s="46"/>
      <c r="G390" s="3"/>
      <c r="H390" s="3"/>
      <c r="I390" s="3"/>
      <c r="J390" s="3"/>
      <c r="K390" s="3"/>
      <c r="L390" s="3"/>
      <c r="M390" s="3"/>
      <c r="N390" s="3"/>
      <c r="O390" s="4"/>
      <c r="P390" s="3"/>
      <c r="Q390" s="3"/>
      <c r="R390" s="3"/>
      <c r="S390" s="3"/>
      <c r="T390" s="3"/>
      <c r="U390" s="16"/>
      <c r="V390" s="3"/>
      <c r="X390" s="19">
        <v>0</v>
      </c>
    </row>
    <row r="391" spans="2:24" x14ac:dyDescent="0.3">
      <c r="B391" s="16"/>
      <c r="C391" s="3"/>
      <c r="D391" s="3"/>
      <c r="E391" s="3"/>
      <c r="F391" s="46"/>
      <c r="G391" s="3"/>
      <c r="H391" s="3"/>
      <c r="I391" s="3"/>
      <c r="J391" s="3"/>
      <c r="K391" s="3"/>
      <c r="L391" s="3"/>
      <c r="M391" s="3"/>
      <c r="N391" s="3"/>
      <c r="O391" s="4"/>
      <c r="P391" s="3"/>
      <c r="Q391" s="3"/>
      <c r="R391" s="3"/>
      <c r="S391" s="3"/>
      <c r="T391" s="3"/>
      <c r="U391" s="16"/>
      <c r="V391" s="3"/>
      <c r="X391" s="19">
        <v>0</v>
      </c>
    </row>
    <row r="392" spans="2:24" x14ac:dyDescent="0.3">
      <c r="B392" s="16"/>
      <c r="C392" s="3"/>
      <c r="D392" s="3"/>
      <c r="E392" s="3"/>
      <c r="F392" s="46"/>
      <c r="G392" s="3"/>
      <c r="H392" s="3"/>
      <c r="I392" s="3"/>
      <c r="J392" s="3"/>
      <c r="K392" s="3"/>
      <c r="L392" s="3"/>
      <c r="M392" s="3"/>
      <c r="N392" s="3"/>
      <c r="O392" s="4"/>
      <c r="P392" s="3"/>
      <c r="Q392" s="3"/>
      <c r="R392" s="3"/>
      <c r="S392" s="3"/>
      <c r="T392" s="3"/>
      <c r="U392" s="16"/>
      <c r="V392" s="3"/>
      <c r="X392" s="19">
        <v>0</v>
      </c>
    </row>
    <row r="393" spans="2:24" x14ac:dyDescent="0.3">
      <c r="B393" s="16"/>
      <c r="C393" s="3"/>
      <c r="D393" s="3"/>
      <c r="E393" s="3"/>
      <c r="F393" s="46"/>
      <c r="G393" s="3"/>
      <c r="H393" s="3"/>
      <c r="I393" s="3"/>
      <c r="J393" s="3"/>
      <c r="K393" s="3"/>
      <c r="L393" s="3"/>
      <c r="M393" s="3"/>
      <c r="N393" s="3"/>
      <c r="O393" s="4"/>
      <c r="P393" s="3"/>
      <c r="Q393" s="3"/>
      <c r="R393" s="3"/>
      <c r="S393" s="3"/>
      <c r="T393" s="3"/>
      <c r="U393" s="16"/>
      <c r="V393" s="3"/>
      <c r="X393" s="19">
        <v>0</v>
      </c>
    </row>
    <row r="394" spans="2:24" x14ac:dyDescent="0.3">
      <c r="B394" s="16"/>
      <c r="C394" s="3"/>
      <c r="D394" s="3"/>
      <c r="E394" s="3"/>
      <c r="F394" s="46"/>
      <c r="G394" s="3"/>
      <c r="H394" s="3"/>
      <c r="I394" s="3"/>
      <c r="J394" s="3"/>
      <c r="K394" s="3"/>
      <c r="L394" s="3"/>
      <c r="M394" s="3"/>
      <c r="N394" s="3"/>
      <c r="O394" s="4"/>
      <c r="P394" s="3"/>
      <c r="Q394" s="3"/>
      <c r="R394" s="3"/>
      <c r="S394" s="3"/>
      <c r="T394" s="3"/>
      <c r="U394" s="16"/>
      <c r="V394" s="3"/>
      <c r="X394" s="19">
        <v>0</v>
      </c>
    </row>
    <row r="395" spans="2:24" x14ac:dyDescent="0.3">
      <c r="B395" s="16"/>
      <c r="C395" s="3"/>
      <c r="D395" s="3"/>
      <c r="E395" s="3"/>
      <c r="F395" s="46"/>
      <c r="G395" s="3"/>
      <c r="H395" s="3"/>
      <c r="I395" s="3"/>
      <c r="J395" s="3"/>
      <c r="K395" s="3"/>
      <c r="L395" s="3"/>
      <c r="M395" s="3"/>
      <c r="N395" s="3"/>
      <c r="O395" s="4"/>
      <c r="P395" s="3"/>
      <c r="Q395" s="3"/>
      <c r="R395" s="3"/>
      <c r="S395" s="3"/>
      <c r="T395" s="3"/>
      <c r="U395" s="16"/>
      <c r="V395" s="3"/>
      <c r="X395" s="19">
        <v>0</v>
      </c>
    </row>
    <row r="396" spans="2:24" x14ac:dyDescent="0.3">
      <c r="B396" s="16"/>
      <c r="C396" s="3"/>
      <c r="D396" s="3"/>
      <c r="E396" s="3"/>
      <c r="F396" s="46"/>
      <c r="G396" s="3"/>
      <c r="H396" s="3"/>
      <c r="I396" s="3"/>
      <c r="J396" s="3"/>
      <c r="K396" s="3"/>
      <c r="L396" s="3"/>
      <c r="M396" s="3"/>
      <c r="N396" s="3"/>
      <c r="O396" s="4"/>
      <c r="P396" s="3"/>
      <c r="Q396" s="3"/>
      <c r="R396" s="3"/>
      <c r="S396" s="3"/>
      <c r="T396" s="3"/>
      <c r="U396" s="16"/>
      <c r="V396" s="3"/>
      <c r="X396" s="19">
        <v>0</v>
      </c>
    </row>
    <row r="397" spans="2:24" x14ac:dyDescent="0.3">
      <c r="B397" s="16"/>
      <c r="C397" s="3"/>
      <c r="D397" s="3"/>
      <c r="E397" s="3"/>
      <c r="F397" s="46"/>
      <c r="G397" s="3"/>
      <c r="H397" s="3"/>
      <c r="I397" s="3"/>
      <c r="J397" s="3"/>
      <c r="K397" s="3"/>
      <c r="L397" s="3"/>
      <c r="M397" s="3"/>
      <c r="N397" s="3"/>
      <c r="O397" s="4"/>
      <c r="P397" s="3"/>
      <c r="Q397" s="3"/>
      <c r="R397" s="3"/>
      <c r="S397" s="3"/>
      <c r="T397" s="3"/>
      <c r="U397" s="16"/>
      <c r="V397" s="3"/>
      <c r="X397" s="19">
        <v>0</v>
      </c>
    </row>
    <row r="398" spans="2:24" x14ac:dyDescent="0.3">
      <c r="B398" s="16"/>
      <c r="C398" s="3"/>
      <c r="D398" s="3"/>
      <c r="E398" s="3"/>
      <c r="F398" s="46"/>
      <c r="G398" s="3"/>
      <c r="H398" s="3"/>
      <c r="I398" s="3"/>
      <c r="J398" s="3"/>
      <c r="K398" s="3"/>
      <c r="L398" s="3"/>
      <c r="M398" s="3"/>
      <c r="N398" s="3"/>
      <c r="O398" s="4"/>
      <c r="P398" s="3"/>
      <c r="Q398" s="3"/>
      <c r="R398" s="3"/>
      <c r="S398" s="3"/>
      <c r="T398" s="3"/>
      <c r="U398" s="16"/>
      <c r="V398" s="3"/>
      <c r="X398" s="19">
        <v>0</v>
      </c>
    </row>
    <row r="399" spans="2:24" x14ac:dyDescent="0.3">
      <c r="B399" s="16"/>
      <c r="C399" s="3"/>
      <c r="D399" s="3"/>
      <c r="E399" s="3"/>
      <c r="F399" s="46"/>
      <c r="G399" s="3"/>
      <c r="H399" s="3"/>
      <c r="I399" s="3"/>
      <c r="J399" s="3"/>
      <c r="K399" s="3"/>
      <c r="L399" s="3"/>
      <c r="M399" s="3"/>
      <c r="N399" s="3"/>
      <c r="O399" s="4"/>
      <c r="P399" s="3"/>
      <c r="Q399" s="3"/>
      <c r="R399" s="3"/>
      <c r="S399" s="3"/>
      <c r="T399" s="3"/>
      <c r="U399" s="16"/>
      <c r="V399" s="3"/>
      <c r="X399" s="19">
        <v>0</v>
      </c>
    </row>
    <row r="400" spans="2:24" x14ac:dyDescent="0.3">
      <c r="B400" s="16"/>
      <c r="C400" s="3"/>
      <c r="D400" s="3"/>
      <c r="E400" s="3"/>
      <c r="F400" s="46"/>
      <c r="G400" s="3"/>
      <c r="H400" s="3"/>
      <c r="I400" s="3"/>
      <c r="J400" s="3"/>
      <c r="K400" s="3"/>
      <c r="L400" s="3"/>
      <c r="M400" s="3"/>
      <c r="N400" s="3"/>
      <c r="O400" s="4"/>
      <c r="P400" s="3"/>
      <c r="Q400" s="3"/>
      <c r="R400" s="3"/>
      <c r="S400" s="3"/>
      <c r="T400" s="3"/>
      <c r="U400" s="16"/>
      <c r="V400" s="3"/>
      <c r="X400" s="19">
        <v>0</v>
      </c>
    </row>
    <row r="401" spans="2:24" x14ac:dyDescent="0.3">
      <c r="B401" s="16"/>
      <c r="C401" s="3"/>
      <c r="D401" s="3"/>
      <c r="E401" s="3"/>
      <c r="F401" s="46"/>
      <c r="G401" s="3"/>
      <c r="H401" s="3"/>
      <c r="I401" s="3"/>
      <c r="J401" s="3"/>
      <c r="K401" s="3"/>
      <c r="L401" s="3"/>
      <c r="M401" s="3"/>
      <c r="N401" s="3"/>
      <c r="O401" s="4"/>
      <c r="P401" s="3"/>
      <c r="Q401" s="3"/>
      <c r="R401" s="3"/>
      <c r="S401" s="3"/>
      <c r="T401" s="3"/>
      <c r="U401" s="16"/>
      <c r="V401" s="3"/>
      <c r="X401" s="19">
        <v>0</v>
      </c>
    </row>
    <row r="402" spans="2:24" x14ac:dyDescent="0.3">
      <c r="B402" s="16"/>
      <c r="C402" s="3"/>
      <c r="D402" s="3"/>
      <c r="E402" s="3"/>
      <c r="F402" s="46"/>
      <c r="G402" s="3"/>
      <c r="H402" s="3"/>
      <c r="I402" s="3"/>
      <c r="J402" s="3"/>
      <c r="K402" s="3"/>
      <c r="L402" s="3"/>
      <c r="M402" s="3"/>
      <c r="N402" s="3"/>
      <c r="O402" s="4"/>
      <c r="P402" s="3"/>
      <c r="Q402" s="3"/>
      <c r="R402" s="3"/>
      <c r="S402" s="3"/>
      <c r="T402" s="3"/>
      <c r="U402" s="16"/>
      <c r="V402" s="3"/>
      <c r="X402" s="19">
        <v>0</v>
      </c>
    </row>
    <row r="403" spans="2:24" x14ac:dyDescent="0.3">
      <c r="B403" s="16"/>
      <c r="C403" s="3"/>
      <c r="D403" s="3"/>
      <c r="E403" s="3"/>
      <c r="F403" s="46"/>
      <c r="G403" s="3"/>
      <c r="H403" s="3"/>
      <c r="I403" s="3"/>
      <c r="J403" s="3"/>
      <c r="K403" s="3"/>
      <c r="L403" s="3"/>
      <c r="M403" s="3"/>
      <c r="N403" s="3"/>
      <c r="O403" s="4"/>
      <c r="P403" s="3"/>
      <c r="Q403" s="3"/>
      <c r="R403" s="3"/>
      <c r="S403" s="3"/>
      <c r="T403" s="3"/>
      <c r="U403" s="16"/>
      <c r="V403" s="3"/>
      <c r="X403" s="19">
        <v>0</v>
      </c>
    </row>
    <row r="404" spans="2:24" x14ac:dyDescent="0.3">
      <c r="B404" s="16"/>
      <c r="C404" s="3"/>
      <c r="D404" s="3"/>
      <c r="E404" s="3"/>
      <c r="F404" s="46"/>
      <c r="G404" s="3"/>
      <c r="H404" s="3"/>
      <c r="I404" s="3"/>
      <c r="J404" s="3"/>
      <c r="K404" s="3"/>
      <c r="L404" s="3"/>
      <c r="M404" s="3"/>
      <c r="N404" s="3"/>
      <c r="O404" s="4"/>
      <c r="P404" s="3"/>
      <c r="Q404" s="3"/>
      <c r="R404" s="3"/>
      <c r="S404" s="3"/>
      <c r="T404" s="3"/>
      <c r="U404" s="16"/>
      <c r="V404" s="3"/>
      <c r="X404" s="19">
        <v>0</v>
      </c>
    </row>
    <row r="405" spans="2:24" x14ac:dyDescent="0.3">
      <c r="B405" s="16"/>
      <c r="C405" s="3"/>
      <c r="D405" s="3"/>
      <c r="E405" s="3"/>
      <c r="F405" s="46"/>
      <c r="G405" s="3"/>
      <c r="H405" s="3"/>
      <c r="I405" s="3"/>
      <c r="J405" s="3"/>
      <c r="K405" s="3"/>
      <c r="L405" s="3"/>
      <c r="M405" s="3"/>
      <c r="N405" s="3"/>
      <c r="O405" s="4"/>
      <c r="P405" s="3"/>
      <c r="Q405" s="3"/>
      <c r="R405" s="3"/>
      <c r="S405" s="3"/>
      <c r="T405" s="3"/>
      <c r="U405" s="16"/>
      <c r="V405" s="3"/>
      <c r="X405" s="19">
        <v>0</v>
      </c>
    </row>
    <row r="406" spans="2:24" x14ac:dyDescent="0.3">
      <c r="B406" s="16"/>
      <c r="C406" s="3"/>
      <c r="D406" s="3"/>
      <c r="E406" s="3"/>
      <c r="F406" s="46"/>
      <c r="G406" s="3"/>
      <c r="H406" s="3"/>
      <c r="I406" s="3"/>
      <c r="J406" s="3"/>
      <c r="K406" s="3"/>
      <c r="L406" s="3"/>
      <c r="M406" s="3"/>
      <c r="N406" s="3"/>
      <c r="O406" s="4"/>
      <c r="P406" s="3"/>
      <c r="Q406" s="3"/>
      <c r="R406" s="3"/>
      <c r="S406" s="3"/>
      <c r="T406" s="3"/>
      <c r="U406" s="16"/>
      <c r="V406" s="3"/>
      <c r="X406" s="19">
        <v>0</v>
      </c>
    </row>
    <row r="407" spans="2:24" x14ac:dyDescent="0.3">
      <c r="B407" s="16"/>
      <c r="C407" s="3"/>
      <c r="D407" s="3"/>
      <c r="E407" s="3"/>
      <c r="F407" s="46"/>
      <c r="G407" s="3"/>
      <c r="H407" s="3"/>
      <c r="I407" s="3"/>
      <c r="J407" s="3"/>
      <c r="K407" s="3"/>
      <c r="L407" s="3"/>
      <c r="M407" s="3"/>
      <c r="N407" s="3"/>
      <c r="O407" s="4"/>
      <c r="P407" s="3"/>
      <c r="Q407" s="3"/>
      <c r="R407" s="3"/>
      <c r="S407" s="3"/>
      <c r="T407" s="3"/>
      <c r="U407" s="16"/>
      <c r="V407" s="3"/>
      <c r="X407" s="19">
        <v>0</v>
      </c>
    </row>
    <row r="408" spans="2:24" x14ac:dyDescent="0.3">
      <c r="B408" s="16"/>
      <c r="C408" s="3"/>
      <c r="D408" s="3"/>
      <c r="E408" s="3"/>
      <c r="F408" s="46"/>
      <c r="G408" s="3"/>
      <c r="H408" s="3"/>
      <c r="I408" s="3"/>
      <c r="J408" s="3"/>
      <c r="K408" s="3"/>
      <c r="L408" s="3"/>
      <c r="M408" s="3"/>
      <c r="N408" s="3"/>
      <c r="O408" s="4"/>
      <c r="P408" s="3"/>
      <c r="Q408" s="3"/>
      <c r="R408" s="3"/>
      <c r="S408" s="3"/>
      <c r="T408" s="3"/>
      <c r="U408" s="16"/>
      <c r="V408" s="3"/>
      <c r="X408" s="19">
        <v>0</v>
      </c>
    </row>
    <row r="409" spans="2:24" x14ac:dyDescent="0.3">
      <c r="B409" s="16"/>
      <c r="C409" s="3"/>
      <c r="D409" s="3"/>
      <c r="E409" s="3"/>
      <c r="F409" s="46"/>
      <c r="G409" s="3"/>
      <c r="H409" s="3"/>
      <c r="I409" s="3"/>
      <c r="J409" s="3"/>
      <c r="K409" s="3"/>
      <c r="L409" s="3"/>
      <c r="M409" s="3"/>
      <c r="N409" s="3"/>
      <c r="O409" s="4"/>
      <c r="P409" s="3"/>
      <c r="Q409" s="3"/>
      <c r="R409" s="3"/>
      <c r="S409" s="3"/>
      <c r="T409" s="3"/>
      <c r="U409" s="16"/>
      <c r="V409" s="3"/>
      <c r="X409" s="19">
        <v>0</v>
      </c>
    </row>
    <row r="410" spans="2:24" x14ac:dyDescent="0.3">
      <c r="B410" s="16"/>
      <c r="C410" s="3"/>
      <c r="D410" s="3"/>
      <c r="E410" s="3"/>
      <c r="F410" s="46"/>
      <c r="G410" s="3"/>
      <c r="H410" s="3"/>
      <c r="I410" s="3"/>
      <c r="J410" s="3"/>
      <c r="K410" s="3"/>
      <c r="L410" s="3"/>
      <c r="M410" s="3"/>
      <c r="N410" s="3"/>
      <c r="O410" s="4"/>
      <c r="P410" s="3"/>
      <c r="Q410" s="3"/>
      <c r="R410" s="3"/>
      <c r="S410" s="3"/>
      <c r="T410" s="3"/>
      <c r="U410" s="16"/>
      <c r="V410" s="3"/>
      <c r="X410" s="19">
        <v>0</v>
      </c>
    </row>
    <row r="411" spans="2:24" x14ac:dyDescent="0.3">
      <c r="B411" s="16"/>
      <c r="C411" s="3"/>
      <c r="D411" s="3"/>
      <c r="E411" s="3"/>
      <c r="F411" s="46"/>
      <c r="G411" s="3"/>
      <c r="H411" s="3"/>
      <c r="I411" s="3"/>
      <c r="J411" s="3"/>
      <c r="K411" s="3"/>
      <c r="L411" s="3"/>
      <c r="M411" s="3"/>
      <c r="N411" s="3"/>
      <c r="O411" s="4"/>
      <c r="P411" s="3"/>
      <c r="Q411" s="3"/>
      <c r="R411" s="3"/>
      <c r="S411" s="3"/>
      <c r="T411" s="3"/>
      <c r="U411" s="16"/>
      <c r="V411" s="3"/>
      <c r="X411" s="19">
        <v>0</v>
      </c>
    </row>
    <row r="412" spans="2:24" x14ac:dyDescent="0.3">
      <c r="B412" s="16"/>
      <c r="C412" s="3"/>
      <c r="D412" s="3"/>
      <c r="E412" s="3"/>
      <c r="F412" s="46"/>
      <c r="G412" s="3"/>
      <c r="H412" s="3"/>
      <c r="I412" s="3"/>
      <c r="J412" s="3"/>
      <c r="K412" s="3"/>
      <c r="L412" s="3"/>
      <c r="M412" s="3"/>
      <c r="N412" s="3"/>
      <c r="O412" s="4"/>
      <c r="P412" s="3"/>
      <c r="Q412" s="3"/>
      <c r="R412" s="3"/>
      <c r="S412" s="3"/>
      <c r="T412" s="3"/>
      <c r="U412" s="16"/>
      <c r="V412" s="3"/>
      <c r="X412" s="19">
        <v>0</v>
      </c>
    </row>
    <row r="413" spans="2:24" x14ac:dyDescent="0.3">
      <c r="B413" s="16"/>
      <c r="C413" s="3"/>
      <c r="D413" s="3"/>
      <c r="E413" s="3"/>
      <c r="F413" s="46"/>
      <c r="G413" s="3"/>
      <c r="H413" s="3"/>
      <c r="I413" s="3"/>
      <c r="J413" s="3"/>
      <c r="K413" s="3"/>
      <c r="L413" s="3"/>
      <c r="M413" s="3"/>
      <c r="N413" s="3"/>
      <c r="O413" s="4"/>
      <c r="P413" s="3"/>
      <c r="Q413" s="3"/>
      <c r="R413" s="3"/>
      <c r="S413" s="3"/>
      <c r="T413" s="3"/>
      <c r="U413" s="16"/>
      <c r="V413" s="3"/>
      <c r="X413" s="19">
        <v>0</v>
      </c>
    </row>
    <row r="414" spans="2:24" x14ac:dyDescent="0.3">
      <c r="B414" s="16"/>
      <c r="C414" s="3"/>
      <c r="D414" s="3"/>
      <c r="E414" s="3"/>
      <c r="F414" s="46"/>
      <c r="G414" s="3"/>
      <c r="H414" s="3"/>
      <c r="I414" s="3"/>
      <c r="J414" s="3"/>
      <c r="K414" s="3"/>
      <c r="L414" s="3"/>
      <c r="M414" s="3"/>
      <c r="N414" s="3"/>
      <c r="O414" s="4"/>
      <c r="P414" s="3"/>
      <c r="Q414" s="3"/>
      <c r="R414" s="3"/>
      <c r="S414" s="3"/>
      <c r="T414" s="3"/>
      <c r="U414" s="16"/>
      <c r="V414" s="3"/>
      <c r="X414" s="19">
        <v>0</v>
      </c>
    </row>
    <row r="415" spans="2:24" x14ac:dyDescent="0.3">
      <c r="B415" s="16"/>
      <c r="C415" s="3"/>
      <c r="D415" s="3"/>
      <c r="E415" s="3"/>
      <c r="F415" s="46"/>
      <c r="G415" s="3"/>
      <c r="H415" s="3"/>
      <c r="I415" s="3"/>
      <c r="J415" s="3"/>
      <c r="K415" s="3"/>
      <c r="L415" s="3"/>
      <c r="M415" s="3"/>
      <c r="N415" s="3"/>
      <c r="O415" s="4"/>
      <c r="P415" s="3"/>
      <c r="Q415" s="3"/>
      <c r="R415" s="3"/>
      <c r="S415" s="3"/>
      <c r="T415" s="3"/>
      <c r="U415" s="16"/>
      <c r="V415" s="3"/>
      <c r="X415" s="19">
        <v>0</v>
      </c>
    </row>
    <row r="416" spans="2:24" x14ac:dyDescent="0.3">
      <c r="B416" s="16"/>
      <c r="C416" s="3"/>
      <c r="D416" s="3"/>
      <c r="E416" s="3"/>
      <c r="F416" s="46"/>
      <c r="G416" s="3"/>
      <c r="H416" s="3"/>
      <c r="I416" s="3"/>
      <c r="J416" s="3"/>
      <c r="K416" s="3"/>
      <c r="L416" s="3"/>
      <c r="M416" s="3"/>
      <c r="N416" s="3"/>
      <c r="O416" s="4"/>
      <c r="P416" s="3"/>
      <c r="Q416" s="3"/>
      <c r="R416" s="3"/>
      <c r="S416" s="3"/>
      <c r="T416" s="3"/>
      <c r="U416" s="16"/>
      <c r="V416" s="3"/>
      <c r="X416" s="19">
        <v>0</v>
      </c>
    </row>
    <row r="417" spans="2:24" x14ac:dyDescent="0.3">
      <c r="B417" s="16"/>
      <c r="C417" s="3"/>
      <c r="D417" s="3"/>
      <c r="E417" s="3"/>
      <c r="F417" s="46"/>
      <c r="G417" s="3"/>
      <c r="H417" s="3"/>
      <c r="I417" s="3"/>
      <c r="J417" s="3"/>
      <c r="K417" s="3"/>
      <c r="L417" s="3"/>
      <c r="M417" s="3"/>
      <c r="N417" s="3"/>
      <c r="O417" s="4"/>
      <c r="P417" s="3"/>
      <c r="Q417" s="3"/>
      <c r="R417" s="3"/>
      <c r="S417" s="3"/>
      <c r="T417" s="3"/>
      <c r="U417" s="16"/>
      <c r="V417" s="3"/>
      <c r="X417" s="19">
        <v>0</v>
      </c>
    </row>
    <row r="418" spans="2:24" x14ac:dyDescent="0.3">
      <c r="B418" s="16"/>
      <c r="C418" s="3"/>
      <c r="D418" s="3"/>
      <c r="E418" s="3"/>
      <c r="F418" s="46"/>
      <c r="G418" s="3"/>
      <c r="H418" s="3"/>
      <c r="I418" s="3"/>
      <c r="J418" s="3"/>
      <c r="K418" s="3"/>
      <c r="L418" s="3"/>
      <c r="M418" s="3"/>
      <c r="N418" s="3"/>
      <c r="O418" s="4"/>
      <c r="P418" s="3"/>
      <c r="Q418" s="3"/>
      <c r="R418" s="3"/>
      <c r="S418" s="3"/>
      <c r="T418" s="3"/>
      <c r="U418" s="16"/>
      <c r="V418" s="3"/>
      <c r="X418" s="19">
        <v>0</v>
      </c>
    </row>
    <row r="419" spans="2:24" x14ac:dyDescent="0.3">
      <c r="B419" s="16"/>
      <c r="C419" s="3"/>
      <c r="D419" s="3"/>
      <c r="E419" s="3"/>
      <c r="F419" s="46"/>
      <c r="G419" s="3"/>
      <c r="H419" s="3"/>
      <c r="I419" s="3"/>
      <c r="J419" s="3"/>
      <c r="K419" s="3"/>
      <c r="L419" s="3"/>
      <c r="M419" s="3"/>
      <c r="N419" s="3"/>
      <c r="O419" s="4"/>
      <c r="P419" s="3"/>
      <c r="Q419" s="3"/>
      <c r="R419" s="3"/>
      <c r="S419" s="3"/>
      <c r="T419" s="3"/>
      <c r="U419" s="16"/>
      <c r="V419" s="3"/>
      <c r="X419" s="19">
        <v>0</v>
      </c>
    </row>
    <row r="420" spans="2:24" x14ac:dyDescent="0.3">
      <c r="B420" s="16"/>
      <c r="C420" s="3"/>
      <c r="D420" s="3"/>
      <c r="E420" s="3"/>
      <c r="F420" s="46"/>
      <c r="G420" s="3"/>
      <c r="H420" s="3"/>
      <c r="I420" s="3"/>
      <c r="J420" s="3"/>
      <c r="K420" s="3"/>
      <c r="L420" s="3"/>
      <c r="M420" s="3"/>
      <c r="N420" s="3"/>
      <c r="O420" s="4"/>
      <c r="P420" s="3"/>
      <c r="Q420" s="3"/>
      <c r="R420" s="3"/>
      <c r="S420" s="3"/>
      <c r="T420" s="3"/>
      <c r="U420" s="16"/>
      <c r="V420" s="3"/>
      <c r="X420" s="19">
        <v>0</v>
      </c>
    </row>
    <row r="421" spans="2:24" x14ac:dyDescent="0.3">
      <c r="B421" s="16"/>
      <c r="C421" s="3"/>
      <c r="D421" s="3"/>
      <c r="E421" s="3"/>
      <c r="F421" s="46"/>
      <c r="G421" s="3"/>
      <c r="H421" s="3"/>
      <c r="I421" s="3"/>
      <c r="J421" s="3"/>
      <c r="K421" s="3"/>
      <c r="L421" s="3"/>
      <c r="M421" s="3"/>
      <c r="N421" s="3"/>
      <c r="O421" s="4"/>
      <c r="P421" s="3"/>
      <c r="Q421" s="3"/>
      <c r="R421" s="3"/>
      <c r="S421" s="3"/>
      <c r="T421" s="3"/>
      <c r="U421" s="16"/>
      <c r="V421" s="3"/>
      <c r="X421" s="19">
        <v>0</v>
      </c>
    </row>
    <row r="422" spans="2:24" x14ac:dyDescent="0.3">
      <c r="B422" s="16"/>
      <c r="C422" s="3"/>
      <c r="D422" s="3"/>
      <c r="E422" s="3"/>
      <c r="F422" s="46"/>
      <c r="G422" s="3"/>
      <c r="H422" s="3"/>
      <c r="I422" s="3"/>
      <c r="J422" s="3"/>
      <c r="K422" s="3"/>
      <c r="L422" s="3"/>
      <c r="M422" s="3"/>
      <c r="N422" s="3"/>
      <c r="O422" s="4"/>
      <c r="P422" s="3"/>
      <c r="Q422" s="3"/>
      <c r="R422" s="3"/>
      <c r="S422" s="3"/>
      <c r="T422" s="3"/>
      <c r="U422" s="16"/>
      <c r="V422" s="3"/>
      <c r="X422" s="19">
        <v>0</v>
      </c>
    </row>
    <row r="423" spans="2:24" x14ac:dyDescent="0.3">
      <c r="B423" s="16"/>
      <c r="C423" s="3"/>
      <c r="D423" s="3"/>
      <c r="E423" s="3"/>
      <c r="F423" s="46"/>
      <c r="G423" s="3"/>
      <c r="H423" s="3"/>
      <c r="I423" s="3"/>
      <c r="J423" s="3"/>
      <c r="K423" s="3"/>
      <c r="L423" s="3"/>
      <c r="M423" s="3"/>
      <c r="N423" s="3"/>
      <c r="O423" s="4"/>
      <c r="P423" s="3"/>
      <c r="Q423" s="3"/>
      <c r="R423" s="3"/>
      <c r="S423" s="3"/>
      <c r="T423" s="3"/>
      <c r="U423" s="16"/>
      <c r="V423" s="3"/>
      <c r="X423" s="19">
        <v>0</v>
      </c>
    </row>
    <row r="424" spans="2:24" x14ac:dyDescent="0.3">
      <c r="B424" s="16"/>
      <c r="C424" s="3"/>
      <c r="D424" s="3"/>
      <c r="E424" s="3"/>
      <c r="F424" s="46"/>
      <c r="G424" s="3"/>
      <c r="H424" s="3"/>
      <c r="I424" s="3"/>
      <c r="J424" s="3"/>
      <c r="K424" s="3"/>
      <c r="L424" s="3"/>
      <c r="M424" s="3"/>
      <c r="N424" s="3"/>
      <c r="O424" s="4"/>
      <c r="P424" s="3"/>
      <c r="Q424" s="3"/>
      <c r="R424" s="3"/>
      <c r="S424" s="3"/>
      <c r="T424" s="3"/>
      <c r="U424" s="16"/>
      <c r="V424" s="3"/>
      <c r="X424" s="19">
        <v>0</v>
      </c>
    </row>
    <row r="425" spans="2:24" x14ac:dyDescent="0.3">
      <c r="B425" s="16"/>
      <c r="C425" s="3"/>
      <c r="D425" s="3"/>
      <c r="E425" s="3"/>
      <c r="F425" s="46"/>
      <c r="G425" s="3"/>
      <c r="H425" s="3"/>
      <c r="I425" s="3"/>
      <c r="J425" s="3"/>
      <c r="K425" s="3"/>
      <c r="L425" s="3"/>
      <c r="M425" s="3"/>
      <c r="N425" s="3"/>
      <c r="O425" s="4"/>
      <c r="P425" s="3"/>
      <c r="Q425" s="3"/>
      <c r="R425" s="3"/>
      <c r="S425" s="3"/>
      <c r="T425" s="3"/>
      <c r="U425" s="16"/>
      <c r="V425" s="3"/>
      <c r="X425" s="19">
        <v>0</v>
      </c>
    </row>
    <row r="426" spans="2:24" x14ac:dyDescent="0.3">
      <c r="B426" s="16"/>
      <c r="C426" s="3"/>
      <c r="D426" s="3"/>
      <c r="E426" s="3"/>
      <c r="F426" s="46"/>
      <c r="G426" s="3"/>
      <c r="H426" s="3"/>
      <c r="I426" s="3"/>
      <c r="J426" s="3"/>
      <c r="K426" s="3"/>
      <c r="L426" s="3"/>
      <c r="M426" s="3"/>
      <c r="N426" s="3"/>
      <c r="O426" s="4"/>
      <c r="P426" s="3"/>
      <c r="Q426" s="3"/>
      <c r="R426" s="3"/>
      <c r="S426" s="3"/>
      <c r="T426" s="3"/>
      <c r="U426" s="16"/>
      <c r="V426" s="3"/>
      <c r="X426" s="19">
        <v>0</v>
      </c>
    </row>
    <row r="427" spans="2:24" x14ac:dyDescent="0.3">
      <c r="B427" s="16"/>
      <c r="C427" s="3"/>
      <c r="D427" s="3"/>
      <c r="E427" s="3"/>
      <c r="F427" s="46"/>
      <c r="G427" s="3"/>
      <c r="H427" s="3"/>
      <c r="I427" s="3"/>
      <c r="J427" s="3"/>
      <c r="K427" s="3"/>
      <c r="L427" s="3"/>
      <c r="M427" s="3"/>
      <c r="N427" s="3"/>
      <c r="O427" s="4"/>
      <c r="P427" s="3"/>
      <c r="Q427" s="3"/>
      <c r="R427" s="3"/>
      <c r="S427" s="3"/>
      <c r="T427" s="3"/>
      <c r="U427" s="16"/>
      <c r="V427" s="3"/>
      <c r="X427" s="19">
        <v>0</v>
      </c>
    </row>
    <row r="428" spans="2:24" x14ac:dyDescent="0.3">
      <c r="B428" s="16"/>
      <c r="C428" s="3"/>
      <c r="D428" s="3"/>
      <c r="E428" s="3"/>
      <c r="F428" s="46"/>
      <c r="G428" s="3"/>
      <c r="H428" s="3"/>
      <c r="I428" s="3"/>
      <c r="J428" s="3"/>
      <c r="K428" s="3"/>
      <c r="L428" s="3"/>
      <c r="M428" s="3"/>
      <c r="N428" s="3"/>
      <c r="O428" s="4"/>
      <c r="P428" s="3"/>
      <c r="Q428" s="3"/>
      <c r="R428" s="3"/>
      <c r="S428" s="3"/>
      <c r="T428" s="3"/>
      <c r="U428" s="16"/>
      <c r="V428" s="3"/>
      <c r="X428" s="19">
        <v>0</v>
      </c>
    </row>
    <row r="429" spans="2:24" x14ac:dyDescent="0.3">
      <c r="B429" s="16"/>
      <c r="C429" s="3"/>
      <c r="D429" s="3"/>
      <c r="E429" s="3"/>
      <c r="F429" s="46"/>
      <c r="G429" s="3"/>
      <c r="H429" s="3"/>
      <c r="I429" s="3"/>
      <c r="J429" s="3"/>
      <c r="K429" s="3"/>
      <c r="L429" s="3"/>
      <c r="M429" s="3"/>
      <c r="N429" s="3"/>
      <c r="O429" s="4"/>
      <c r="P429" s="3"/>
      <c r="Q429" s="3"/>
      <c r="R429" s="3"/>
      <c r="S429" s="3"/>
      <c r="T429" s="3"/>
      <c r="U429" s="16"/>
      <c r="V429" s="3"/>
      <c r="X429" s="19">
        <v>0</v>
      </c>
    </row>
    <row r="430" spans="2:24" x14ac:dyDescent="0.3">
      <c r="B430" s="16"/>
      <c r="C430" s="3"/>
      <c r="D430" s="3"/>
      <c r="E430" s="3"/>
      <c r="F430" s="46"/>
      <c r="G430" s="3"/>
      <c r="H430" s="3"/>
      <c r="I430" s="3"/>
      <c r="J430" s="3"/>
      <c r="K430" s="3"/>
      <c r="L430" s="3"/>
      <c r="M430" s="3"/>
      <c r="N430" s="3"/>
      <c r="O430" s="4"/>
      <c r="P430" s="3"/>
      <c r="Q430" s="3"/>
      <c r="R430" s="3"/>
      <c r="S430" s="3"/>
      <c r="T430" s="3"/>
      <c r="U430" s="16"/>
      <c r="V430" s="3"/>
      <c r="X430" s="19">
        <v>0</v>
      </c>
    </row>
    <row r="431" spans="2:24" x14ac:dyDescent="0.3">
      <c r="B431" s="16"/>
      <c r="C431" s="3"/>
      <c r="D431" s="3"/>
      <c r="E431" s="3"/>
      <c r="F431" s="46"/>
      <c r="G431" s="3"/>
      <c r="H431" s="3"/>
      <c r="I431" s="3"/>
      <c r="J431" s="3"/>
      <c r="K431" s="3"/>
      <c r="L431" s="3"/>
      <c r="M431" s="3"/>
      <c r="N431" s="3"/>
      <c r="O431" s="4"/>
      <c r="P431" s="3"/>
      <c r="Q431" s="3"/>
      <c r="R431" s="3"/>
      <c r="S431" s="3"/>
      <c r="T431" s="3"/>
      <c r="U431" s="16"/>
      <c r="V431" s="3"/>
      <c r="X431" s="19">
        <v>0</v>
      </c>
    </row>
    <row r="432" spans="2:24" x14ac:dyDescent="0.3">
      <c r="B432" s="16"/>
      <c r="C432" s="3"/>
      <c r="D432" s="3"/>
      <c r="E432" s="3"/>
      <c r="F432" s="46"/>
      <c r="G432" s="3"/>
      <c r="H432" s="3"/>
      <c r="I432" s="3"/>
      <c r="J432" s="3"/>
      <c r="K432" s="3"/>
      <c r="L432" s="3"/>
      <c r="M432" s="3"/>
      <c r="N432" s="3"/>
      <c r="O432" s="4"/>
      <c r="P432" s="3"/>
      <c r="Q432" s="3"/>
      <c r="R432" s="3"/>
      <c r="S432" s="3"/>
      <c r="T432" s="3"/>
      <c r="U432" s="16"/>
      <c r="V432" s="3"/>
      <c r="X432" s="19">
        <v>0</v>
      </c>
    </row>
    <row r="433" spans="2:24" x14ac:dyDescent="0.3">
      <c r="B433" s="16"/>
      <c r="C433" s="3"/>
      <c r="D433" s="3"/>
      <c r="E433" s="3"/>
      <c r="F433" s="46"/>
      <c r="G433" s="3"/>
      <c r="H433" s="3"/>
      <c r="I433" s="3"/>
      <c r="J433" s="3"/>
      <c r="K433" s="3"/>
      <c r="L433" s="3"/>
      <c r="M433" s="3"/>
      <c r="N433" s="3"/>
      <c r="O433" s="4"/>
      <c r="P433" s="3"/>
      <c r="Q433" s="3"/>
      <c r="R433" s="3"/>
      <c r="S433" s="3"/>
      <c r="T433" s="3"/>
      <c r="U433" s="16"/>
      <c r="V433" s="3"/>
      <c r="X433" s="19">
        <v>0</v>
      </c>
    </row>
    <row r="434" spans="2:24" x14ac:dyDescent="0.3">
      <c r="B434" s="16"/>
      <c r="C434" s="3"/>
      <c r="D434" s="3"/>
      <c r="E434" s="3"/>
      <c r="F434" s="46"/>
      <c r="G434" s="3"/>
      <c r="H434" s="3"/>
      <c r="I434" s="3"/>
      <c r="J434" s="3"/>
      <c r="K434" s="3"/>
      <c r="L434" s="3"/>
      <c r="M434" s="3"/>
      <c r="N434" s="3"/>
      <c r="O434" s="4"/>
      <c r="P434" s="3"/>
      <c r="Q434" s="3"/>
      <c r="R434" s="3"/>
      <c r="S434" s="3"/>
      <c r="T434" s="3"/>
      <c r="U434" s="16"/>
      <c r="V434" s="3"/>
      <c r="X434" s="19">
        <v>0</v>
      </c>
    </row>
    <row r="435" spans="2:24" x14ac:dyDescent="0.3">
      <c r="B435" s="16"/>
      <c r="C435" s="3"/>
      <c r="D435" s="3"/>
      <c r="E435" s="3"/>
      <c r="F435" s="46"/>
      <c r="G435" s="3"/>
      <c r="H435" s="3"/>
      <c r="I435" s="3"/>
      <c r="J435" s="3"/>
      <c r="K435" s="3"/>
      <c r="L435" s="3"/>
      <c r="M435" s="3"/>
      <c r="N435" s="3"/>
      <c r="O435" s="4"/>
      <c r="P435" s="3"/>
      <c r="Q435" s="3"/>
      <c r="R435" s="3"/>
      <c r="S435" s="3"/>
      <c r="T435" s="3"/>
      <c r="U435" s="16"/>
      <c r="V435" s="3"/>
      <c r="X435" s="19">
        <v>0</v>
      </c>
    </row>
    <row r="436" spans="2:24" x14ac:dyDescent="0.3">
      <c r="B436" s="16"/>
      <c r="C436" s="3"/>
      <c r="D436" s="3"/>
      <c r="E436" s="3"/>
      <c r="F436" s="46"/>
      <c r="G436" s="3"/>
      <c r="H436" s="3"/>
      <c r="I436" s="3"/>
      <c r="J436" s="3"/>
      <c r="K436" s="3"/>
      <c r="L436" s="3"/>
      <c r="M436" s="3"/>
      <c r="N436" s="3"/>
      <c r="O436" s="4"/>
      <c r="P436" s="3"/>
      <c r="Q436" s="3"/>
      <c r="R436" s="3"/>
      <c r="S436" s="3"/>
      <c r="T436" s="3"/>
      <c r="U436" s="16"/>
      <c r="V436" s="3"/>
      <c r="X436" s="19">
        <v>0</v>
      </c>
    </row>
    <row r="437" spans="2:24" x14ac:dyDescent="0.3">
      <c r="B437" s="16"/>
      <c r="C437" s="3"/>
      <c r="D437" s="3"/>
      <c r="E437" s="3"/>
      <c r="F437" s="46"/>
      <c r="G437" s="3"/>
      <c r="H437" s="3"/>
      <c r="I437" s="3"/>
      <c r="J437" s="3"/>
      <c r="K437" s="3"/>
      <c r="L437" s="3"/>
      <c r="M437" s="3"/>
      <c r="N437" s="3"/>
      <c r="O437" s="4"/>
      <c r="P437" s="3"/>
      <c r="Q437" s="3"/>
      <c r="R437" s="3"/>
      <c r="S437" s="3"/>
      <c r="T437" s="3"/>
      <c r="U437" s="16"/>
      <c r="V437" s="3"/>
      <c r="X437" s="19">
        <v>0</v>
      </c>
    </row>
    <row r="438" spans="2:24" x14ac:dyDescent="0.3">
      <c r="B438" s="16"/>
      <c r="C438" s="3"/>
      <c r="D438" s="3"/>
      <c r="E438" s="3"/>
      <c r="F438" s="46"/>
      <c r="G438" s="3"/>
      <c r="H438" s="3"/>
      <c r="I438" s="3"/>
      <c r="J438" s="3"/>
      <c r="K438" s="3"/>
      <c r="L438" s="3"/>
      <c r="M438" s="3"/>
      <c r="N438" s="3"/>
      <c r="O438" s="4"/>
      <c r="P438" s="3"/>
      <c r="Q438" s="3"/>
      <c r="R438" s="3"/>
      <c r="S438" s="3"/>
      <c r="T438" s="3"/>
      <c r="U438" s="16"/>
      <c r="V438" s="3"/>
      <c r="X438" s="19">
        <v>0</v>
      </c>
    </row>
    <row r="439" spans="2:24" x14ac:dyDescent="0.3">
      <c r="B439" s="16"/>
      <c r="C439" s="3"/>
      <c r="D439" s="3"/>
      <c r="E439" s="3"/>
      <c r="F439" s="46"/>
      <c r="G439" s="3"/>
      <c r="H439" s="3"/>
      <c r="I439" s="3"/>
      <c r="J439" s="3"/>
      <c r="K439" s="3"/>
      <c r="L439" s="3"/>
      <c r="M439" s="3"/>
      <c r="N439" s="3"/>
      <c r="O439" s="4"/>
      <c r="P439" s="3"/>
      <c r="Q439" s="3"/>
      <c r="R439" s="3"/>
      <c r="S439" s="3"/>
      <c r="T439" s="3"/>
      <c r="U439" s="16"/>
      <c r="V439" s="3"/>
      <c r="X439" s="19">
        <v>0</v>
      </c>
    </row>
    <row r="440" spans="2:24" x14ac:dyDescent="0.3">
      <c r="B440" s="16"/>
      <c r="C440" s="3"/>
      <c r="D440" s="3"/>
      <c r="E440" s="3"/>
      <c r="F440" s="46"/>
      <c r="G440" s="3"/>
      <c r="H440" s="3"/>
      <c r="I440" s="3"/>
      <c r="J440" s="3"/>
      <c r="K440" s="3"/>
      <c r="L440" s="3"/>
      <c r="M440" s="3"/>
      <c r="N440" s="3"/>
      <c r="O440" s="4"/>
      <c r="P440" s="3"/>
      <c r="Q440" s="3"/>
      <c r="R440" s="3"/>
      <c r="S440" s="3"/>
      <c r="T440" s="3"/>
      <c r="U440" s="16"/>
      <c r="V440" s="3"/>
      <c r="X440" s="19">
        <v>0</v>
      </c>
    </row>
    <row r="441" spans="2:24" x14ac:dyDescent="0.3">
      <c r="B441" s="16"/>
      <c r="C441" s="3"/>
      <c r="D441" s="3"/>
      <c r="E441" s="3"/>
      <c r="F441" s="46"/>
      <c r="G441" s="3"/>
      <c r="H441" s="3"/>
      <c r="I441" s="3"/>
      <c r="J441" s="3"/>
      <c r="K441" s="3"/>
      <c r="L441" s="3"/>
      <c r="M441" s="3"/>
      <c r="N441" s="3"/>
      <c r="O441" s="4"/>
      <c r="P441" s="3"/>
      <c r="Q441" s="3"/>
      <c r="R441" s="3"/>
      <c r="S441" s="3"/>
      <c r="T441" s="3"/>
      <c r="U441" s="16"/>
      <c r="V441" s="3"/>
      <c r="X441" s="19">
        <v>0</v>
      </c>
    </row>
    <row r="442" spans="2:24" x14ac:dyDescent="0.3">
      <c r="B442" s="16"/>
      <c r="C442" s="3"/>
      <c r="D442" s="3"/>
      <c r="E442" s="3"/>
      <c r="F442" s="46"/>
      <c r="G442" s="3"/>
      <c r="H442" s="3"/>
      <c r="I442" s="3"/>
      <c r="J442" s="3"/>
      <c r="K442" s="3"/>
      <c r="L442" s="3"/>
      <c r="M442" s="3"/>
      <c r="N442" s="3"/>
      <c r="O442" s="4"/>
      <c r="P442" s="3"/>
      <c r="Q442" s="3"/>
      <c r="R442" s="3"/>
      <c r="S442" s="3"/>
      <c r="T442" s="3"/>
      <c r="U442" s="16"/>
      <c r="V442" s="3"/>
      <c r="X442" s="19">
        <v>0</v>
      </c>
    </row>
    <row r="443" spans="2:24" x14ac:dyDescent="0.3">
      <c r="B443" s="16"/>
      <c r="C443" s="3"/>
      <c r="D443" s="3"/>
      <c r="E443" s="3"/>
      <c r="F443" s="46"/>
      <c r="G443" s="3"/>
      <c r="H443" s="3"/>
      <c r="I443" s="3"/>
      <c r="J443" s="3"/>
      <c r="K443" s="3"/>
      <c r="L443" s="3"/>
      <c r="M443" s="3"/>
      <c r="N443" s="3"/>
      <c r="O443" s="4"/>
      <c r="P443" s="3"/>
      <c r="Q443" s="3"/>
      <c r="R443" s="3"/>
      <c r="S443" s="3"/>
      <c r="T443" s="3"/>
      <c r="U443" s="16"/>
      <c r="V443" s="3"/>
      <c r="X443" s="19">
        <v>0</v>
      </c>
    </row>
    <row r="444" spans="2:24" x14ac:dyDescent="0.3">
      <c r="B444" s="16"/>
      <c r="C444" s="3"/>
      <c r="D444" s="3"/>
      <c r="E444" s="3"/>
      <c r="F444" s="46"/>
      <c r="G444" s="3"/>
      <c r="H444" s="3"/>
      <c r="I444" s="3"/>
      <c r="J444" s="3"/>
      <c r="K444" s="3"/>
      <c r="L444" s="3"/>
      <c r="M444" s="3"/>
      <c r="N444" s="3"/>
      <c r="O444" s="4"/>
      <c r="P444" s="3"/>
      <c r="Q444" s="3"/>
      <c r="R444" s="3"/>
      <c r="S444" s="3"/>
      <c r="T444" s="3"/>
      <c r="U444" s="16"/>
      <c r="V444" s="3"/>
      <c r="X444" s="19">
        <v>0</v>
      </c>
    </row>
    <row r="445" spans="2:24" x14ac:dyDescent="0.3">
      <c r="B445" s="16"/>
      <c r="C445" s="3"/>
      <c r="D445" s="3"/>
      <c r="E445" s="3"/>
      <c r="F445" s="46"/>
      <c r="G445" s="3"/>
      <c r="H445" s="3"/>
      <c r="I445" s="3"/>
      <c r="J445" s="3"/>
      <c r="K445" s="3"/>
      <c r="L445" s="3"/>
      <c r="M445" s="3"/>
      <c r="N445" s="3"/>
      <c r="O445" s="4"/>
      <c r="P445" s="3"/>
      <c r="Q445" s="3"/>
      <c r="R445" s="3"/>
      <c r="S445" s="3"/>
      <c r="T445" s="3"/>
      <c r="U445" s="16"/>
      <c r="V445" s="3"/>
      <c r="X445" s="19">
        <v>0</v>
      </c>
    </row>
    <row r="446" spans="2:24" x14ac:dyDescent="0.3">
      <c r="B446" s="16"/>
      <c r="C446" s="3"/>
      <c r="D446" s="3"/>
      <c r="E446" s="3"/>
      <c r="F446" s="46"/>
      <c r="G446" s="3"/>
      <c r="H446" s="3"/>
      <c r="I446" s="3"/>
      <c r="J446" s="3"/>
      <c r="K446" s="3"/>
      <c r="L446" s="3"/>
      <c r="M446" s="3"/>
      <c r="N446" s="3"/>
      <c r="O446" s="4"/>
      <c r="P446" s="3"/>
      <c r="Q446" s="3"/>
      <c r="R446" s="3"/>
      <c r="S446" s="3"/>
      <c r="T446" s="3"/>
      <c r="U446" s="16"/>
      <c r="V446" s="3"/>
      <c r="X446" s="19">
        <v>0</v>
      </c>
    </row>
    <row r="447" spans="2:24" x14ac:dyDescent="0.3">
      <c r="B447" s="16"/>
      <c r="C447" s="3"/>
      <c r="D447" s="3"/>
      <c r="E447" s="3"/>
      <c r="F447" s="46"/>
      <c r="G447" s="3"/>
      <c r="H447" s="3"/>
      <c r="I447" s="3"/>
      <c r="J447" s="3"/>
      <c r="K447" s="3"/>
      <c r="L447" s="3"/>
      <c r="M447" s="3"/>
      <c r="N447" s="3"/>
      <c r="O447" s="4"/>
      <c r="P447" s="3"/>
      <c r="Q447" s="3"/>
      <c r="R447" s="3"/>
      <c r="S447" s="3"/>
      <c r="T447" s="3"/>
      <c r="U447" s="16"/>
      <c r="V447" s="3"/>
      <c r="X447" s="19">
        <v>0</v>
      </c>
    </row>
    <row r="448" spans="2:24" x14ac:dyDescent="0.3">
      <c r="B448" s="16"/>
      <c r="C448" s="3"/>
      <c r="D448" s="3"/>
      <c r="E448" s="3"/>
      <c r="F448" s="46"/>
      <c r="G448" s="3"/>
      <c r="H448" s="3"/>
      <c r="I448" s="3"/>
      <c r="J448" s="3"/>
      <c r="K448" s="3"/>
      <c r="L448" s="3"/>
      <c r="M448" s="3"/>
      <c r="N448" s="3"/>
      <c r="O448" s="4"/>
      <c r="P448" s="3"/>
      <c r="Q448" s="3"/>
      <c r="R448" s="3"/>
      <c r="S448" s="3"/>
      <c r="T448" s="3"/>
      <c r="U448" s="16"/>
      <c r="V448" s="3"/>
      <c r="X448" s="19">
        <v>0</v>
      </c>
    </row>
    <row r="449" spans="2:24" x14ac:dyDescent="0.3">
      <c r="B449" s="16"/>
      <c r="C449" s="3"/>
      <c r="D449" s="3"/>
      <c r="E449" s="3"/>
      <c r="F449" s="46"/>
      <c r="G449" s="3"/>
      <c r="H449" s="3"/>
      <c r="I449" s="3"/>
      <c r="J449" s="3"/>
      <c r="K449" s="3"/>
      <c r="L449" s="3"/>
      <c r="M449" s="3"/>
      <c r="N449" s="3"/>
      <c r="O449" s="4"/>
      <c r="P449" s="3"/>
      <c r="Q449" s="3"/>
      <c r="R449" s="3"/>
      <c r="S449" s="3"/>
      <c r="T449" s="3"/>
      <c r="U449" s="16"/>
      <c r="V449" s="3"/>
      <c r="X449" s="19">
        <v>0</v>
      </c>
    </row>
    <row r="450" spans="2:24" x14ac:dyDescent="0.3">
      <c r="B450" s="16"/>
      <c r="C450" s="3"/>
      <c r="D450" s="3"/>
      <c r="E450" s="3"/>
      <c r="F450" s="46"/>
      <c r="G450" s="3"/>
      <c r="H450" s="3"/>
      <c r="I450" s="3"/>
      <c r="J450" s="3"/>
      <c r="K450" s="3"/>
      <c r="L450" s="3"/>
      <c r="M450" s="3"/>
      <c r="N450" s="3"/>
      <c r="O450" s="4"/>
      <c r="P450" s="3"/>
      <c r="Q450" s="3"/>
      <c r="R450" s="3"/>
      <c r="S450" s="3"/>
      <c r="T450" s="3"/>
      <c r="U450" s="16"/>
      <c r="V450" s="3"/>
      <c r="X450" s="19">
        <v>0</v>
      </c>
    </row>
    <row r="451" spans="2:24" x14ac:dyDescent="0.3">
      <c r="B451" s="16"/>
      <c r="C451" s="3"/>
      <c r="D451" s="3"/>
      <c r="E451" s="3"/>
      <c r="F451" s="46"/>
      <c r="G451" s="3"/>
      <c r="H451" s="3"/>
      <c r="I451" s="3"/>
      <c r="J451" s="3"/>
      <c r="K451" s="3"/>
      <c r="L451" s="3"/>
      <c r="M451" s="3"/>
      <c r="N451" s="3"/>
      <c r="O451" s="4"/>
      <c r="P451" s="3"/>
      <c r="Q451" s="3"/>
      <c r="R451" s="3"/>
      <c r="S451" s="3"/>
      <c r="T451" s="3"/>
      <c r="U451" s="16"/>
      <c r="V451" s="3"/>
      <c r="X451" s="19">
        <v>0</v>
      </c>
    </row>
    <row r="452" spans="2:24" x14ac:dyDescent="0.3">
      <c r="B452" s="16"/>
      <c r="C452" s="3"/>
      <c r="D452" s="3"/>
      <c r="E452" s="3"/>
      <c r="F452" s="46"/>
      <c r="G452" s="3"/>
      <c r="H452" s="3"/>
      <c r="I452" s="3"/>
      <c r="J452" s="3"/>
      <c r="K452" s="3"/>
      <c r="L452" s="3"/>
      <c r="M452" s="3"/>
      <c r="N452" s="3"/>
      <c r="O452" s="4"/>
      <c r="P452" s="3"/>
      <c r="Q452" s="3"/>
      <c r="R452" s="3"/>
      <c r="S452" s="3"/>
      <c r="T452" s="3"/>
      <c r="U452" s="16"/>
      <c r="V452" s="3"/>
      <c r="X452" s="19">
        <v>0</v>
      </c>
    </row>
    <row r="453" spans="2:24" x14ac:dyDescent="0.3">
      <c r="B453" s="16"/>
      <c r="C453" s="3"/>
      <c r="D453" s="3"/>
      <c r="E453" s="3"/>
      <c r="F453" s="46"/>
      <c r="G453" s="3"/>
      <c r="H453" s="3"/>
      <c r="I453" s="3"/>
      <c r="J453" s="3"/>
      <c r="K453" s="3"/>
      <c r="L453" s="3"/>
      <c r="M453" s="3"/>
      <c r="N453" s="3"/>
      <c r="O453" s="4"/>
      <c r="P453" s="3"/>
      <c r="Q453" s="3"/>
      <c r="R453" s="3"/>
      <c r="S453" s="3"/>
      <c r="T453" s="3"/>
      <c r="U453" s="16"/>
      <c r="V453" s="3"/>
      <c r="X453" s="19">
        <v>0</v>
      </c>
    </row>
    <row r="454" spans="2:24" x14ac:dyDescent="0.3">
      <c r="B454" s="16"/>
      <c r="C454" s="3"/>
      <c r="D454" s="3"/>
      <c r="E454" s="3"/>
      <c r="F454" s="46"/>
      <c r="G454" s="3"/>
      <c r="H454" s="3"/>
      <c r="I454" s="3"/>
      <c r="J454" s="3"/>
      <c r="K454" s="3"/>
      <c r="L454" s="3"/>
      <c r="M454" s="3"/>
      <c r="N454" s="3"/>
      <c r="O454" s="4"/>
      <c r="P454" s="3"/>
      <c r="Q454" s="3"/>
      <c r="R454" s="3"/>
      <c r="S454" s="3"/>
      <c r="T454" s="3"/>
      <c r="U454" s="16"/>
      <c r="V454" s="3"/>
      <c r="X454" s="19">
        <v>0</v>
      </c>
    </row>
    <row r="455" spans="2:24" x14ac:dyDescent="0.3">
      <c r="B455" s="16"/>
      <c r="C455" s="3"/>
      <c r="D455" s="3"/>
      <c r="E455" s="3"/>
      <c r="F455" s="46"/>
      <c r="G455" s="3"/>
      <c r="H455" s="3"/>
      <c r="I455" s="3"/>
      <c r="J455" s="3"/>
      <c r="K455" s="3"/>
      <c r="L455" s="3"/>
      <c r="M455" s="3"/>
      <c r="N455" s="3"/>
      <c r="O455" s="4"/>
      <c r="P455" s="3"/>
      <c r="Q455" s="3"/>
      <c r="R455" s="3"/>
      <c r="S455" s="3"/>
      <c r="T455" s="3"/>
      <c r="U455" s="16"/>
      <c r="V455" s="3"/>
      <c r="X455" s="19">
        <v>0</v>
      </c>
    </row>
    <row r="456" spans="2:24" x14ac:dyDescent="0.3">
      <c r="B456" s="16"/>
      <c r="C456" s="3"/>
      <c r="D456" s="3"/>
      <c r="E456" s="3"/>
      <c r="F456" s="46"/>
      <c r="G456" s="3"/>
      <c r="H456" s="3"/>
      <c r="I456" s="3"/>
      <c r="J456" s="3"/>
      <c r="K456" s="3"/>
      <c r="L456" s="3"/>
      <c r="M456" s="3"/>
      <c r="N456" s="3"/>
      <c r="O456" s="4"/>
      <c r="P456" s="3"/>
      <c r="Q456" s="3"/>
      <c r="R456" s="3"/>
      <c r="S456" s="3"/>
      <c r="T456" s="3"/>
      <c r="U456" s="16"/>
      <c r="V456" s="3"/>
      <c r="X456" s="19">
        <v>0</v>
      </c>
    </row>
    <row r="457" spans="2:24" x14ac:dyDescent="0.3">
      <c r="B457" s="16"/>
      <c r="C457" s="3"/>
      <c r="D457" s="3"/>
      <c r="E457" s="3"/>
      <c r="F457" s="46"/>
      <c r="G457" s="3"/>
      <c r="H457" s="3"/>
      <c r="I457" s="3"/>
      <c r="J457" s="3"/>
      <c r="K457" s="3"/>
      <c r="L457" s="3"/>
      <c r="M457" s="3"/>
      <c r="N457" s="3"/>
      <c r="O457" s="4"/>
      <c r="P457" s="3"/>
      <c r="Q457" s="3"/>
      <c r="R457" s="3"/>
      <c r="S457" s="3"/>
      <c r="T457" s="3"/>
      <c r="U457" s="16"/>
      <c r="V457" s="3"/>
      <c r="X457" s="19">
        <v>0</v>
      </c>
    </row>
    <row r="458" spans="2:24" x14ac:dyDescent="0.3">
      <c r="B458" s="16"/>
      <c r="C458" s="3"/>
      <c r="D458" s="3"/>
      <c r="E458" s="3"/>
      <c r="F458" s="46"/>
      <c r="G458" s="3"/>
      <c r="H458" s="3"/>
      <c r="I458" s="3"/>
      <c r="J458" s="3"/>
      <c r="K458" s="3"/>
      <c r="L458" s="3"/>
      <c r="M458" s="3"/>
      <c r="N458" s="3"/>
      <c r="O458" s="4"/>
      <c r="P458" s="3"/>
      <c r="Q458" s="3"/>
      <c r="R458" s="3"/>
      <c r="S458" s="3"/>
      <c r="T458" s="3"/>
      <c r="U458" s="16"/>
      <c r="V458" s="3"/>
      <c r="X458" s="19">
        <v>0</v>
      </c>
    </row>
    <row r="459" spans="2:24" x14ac:dyDescent="0.3">
      <c r="B459" s="16"/>
      <c r="C459" s="3"/>
      <c r="D459" s="3"/>
      <c r="E459" s="3"/>
      <c r="F459" s="46"/>
      <c r="G459" s="3"/>
      <c r="H459" s="3"/>
      <c r="I459" s="3"/>
      <c r="J459" s="3"/>
      <c r="K459" s="3"/>
      <c r="L459" s="3"/>
      <c r="M459" s="3"/>
      <c r="N459" s="3"/>
      <c r="O459" s="4"/>
      <c r="P459" s="3"/>
      <c r="Q459" s="3"/>
      <c r="R459" s="3"/>
      <c r="S459" s="3"/>
      <c r="T459" s="3"/>
      <c r="U459" s="16"/>
      <c r="V459" s="3"/>
      <c r="X459" s="19">
        <v>0</v>
      </c>
    </row>
    <row r="460" spans="2:24" x14ac:dyDescent="0.3">
      <c r="B460" s="16"/>
      <c r="C460" s="3"/>
      <c r="D460" s="3"/>
      <c r="E460" s="3"/>
      <c r="F460" s="46"/>
      <c r="G460" s="3"/>
      <c r="H460" s="3"/>
      <c r="I460" s="3"/>
      <c r="J460" s="3"/>
      <c r="K460" s="3"/>
      <c r="L460" s="3"/>
      <c r="M460" s="3"/>
      <c r="N460" s="3"/>
      <c r="O460" s="4"/>
      <c r="P460" s="3"/>
      <c r="Q460" s="3"/>
      <c r="R460" s="3"/>
      <c r="S460" s="3"/>
      <c r="T460" s="3"/>
      <c r="U460" s="16"/>
      <c r="V460" s="3"/>
      <c r="X460" s="19">
        <v>0</v>
      </c>
    </row>
    <row r="461" spans="2:24" x14ac:dyDescent="0.3">
      <c r="B461" s="16"/>
      <c r="C461" s="3"/>
      <c r="D461" s="3"/>
      <c r="E461" s="3"/>
      <c r="F461" s="46"/>
      <c r="G461" s="3"/>
      <c r="H461" s="3"/>
      <c r="I461" s="3"/>
      <c r="J461" s="3"/>
      <c r="K461" s="3"/>
      <c r="L461" s="3"/>
      <c r="M461" s="3"/>
      <c r="N461" s="3"/>
      <c r="O461" s="4"/>
      <c r="P461" s="3"/>
      <c r="Q461" s="3"/>
      <c r="R461" s="3"/>
      <c r="S461" s="3"/>
      <c r="T461" s="3"/>
      <c r="U461" s="16"/>
      <c r="V461" s="3"/>
      <c r="X461" s="19">
        <v>0</v>
      </c>
    </row>
    <row r="462" spans="2:24" x14ac:dyDescent="0.3">
      <c r="B462" s="16"/>
      <c r="C462" s="3"/>
      <c r="D462" s="3"/>
      <c r="E462" s="3"/>
      <c r="F462" s="46"/>
      <c r="G462" s="3"/>
      <c r="H462" s="3"/>
      <c r="I462" s="3"/>
      <c r="J462" s="3"/>
      <c r="K462" s="3"/>
      <c r="L462" s="3"/>
      <c r="M462" s="3"/>
      <c r="N462" s="3"/>
      <c r="O462" s="4"/>
      <c r="P462" s="3"/>
      <c r="Q462" s="3"/>
      <c r="R462" s="3"/>
      <c r="S462" s="3"/>
      <c r="T462" s="3"/>
      <c r="U462" s="16"/>
      <c r="V462" s="3"/>
      <c r="X462" s="19">
        <v>0</v>
      </c>
    </row>
    <row r="463" spans="2:24" x14ac:dyDescent="0.3">
      <c r="B463" s="16"/>
      <c r="C463" s="3"/>
      <c r="D463" s="3"/>
      <c r="E463" s="3"/>
      <c r="F463" s="46"/>
      <c r="G463" s="3"/>
      <c r="H463" s="3"/>
      <c r="I463" s="3"/>
      <c r="J463" s="3"/>
      <c r="K463" s="3"/>
      <c r="L463" s="3"/>
      <c r="M463" s="3"/>
      <c r="N463" s="3"/>
      <c r="O463" s="4"/>
      <c r="P463" s="3"/>
      <c r="Q463" s="3"/>
      <c r="R463" s="3"/>
      <c r="S463" s="3"/>
      <c r="T463" s="3"/>
      <c r="U463" s="16"/>
      <c r="V463" s="3"/>
      <c r="X463" s="19">
        <v>0</v>
      </c>
    </row>
    <row r="464" spans="2:24" x14ac:dyDescent="0.3">
      <c r="B464" s="16"/>
      <c r="C464" s="3"/>
      <c r="D464" s="3"/>
      <c r="E464" s="3"/>
      <c r="F464" s="46"/>
      <c r="G464" s="3"/>
      <c r="H464" s="3"/>
      <c r="I464" s="3"/>
      <c r="J464" s="3"/>
      <c r="K464" s="3"/>
      <c r="L464" s="3"/>
      <c r="M464" s="3"/>
      <c r="N464" s="3"/>
      <c r="O464" s="4"/>
      <c r="P464" s="3"/>
      <c r="Q464" s="3"/>
      <c r="R464" s="3"/>
      <c r="S464" s="3"/>
      <c r="T464" s="3"/>
      <c r="U464" s="16"/>
      <c r="V464" s="3"/>
      <c r="X464" s="19">
        <v>0</v>
      </c>
    </row>
    <row r="465" spans="2:24" x14ac:dyDescent="0.3">
      <c r="B465" s="16"/>
      <c r="C465" s="3"/>
      <c r="D465" s="3"/>
      <c r="E465" s="3"/>
      <c r="F465" s="46"/>
      <c r="G465" s="3"/>
      <c r="H465" s="3"/>
      <c r="I465" s="3"/>
      <c r="J465" s="3"/>
      <c r="K465" s="3"/>
      <c r="L465" s="3"/>
      <c r="M465" s="3"/>
      <c r="N465" s="3"/>
      <c r="O465" s="4"/>
      <c r="P465" s="3"/>
      <c r="Q465" s="3"/>
      <c r="R465" s="3"/>
      <c r="S465" s="3"/>
      <c r="T465" s="3"/>
      <c r="U465" s="16"/>
      <c r="V465" s="3"/>
      <c r="X465" s="19">
        <v>0</v>
      </c>
    </row>
    <row r="466" spans="2:24" x14ac:dyDescent="0.3">
      <c r="B466" s="16"/>
      <c r="C466" s="3"/>
      <c r="D466" s="3"/>
      <c r="E466" s="3"/>
      <c r="F466" s="46"/>
      <c r="G466" s="3"/>
      <c r="H466" s="3"/>
      <c r="I466" s="3"/>
      <c r="J466" s="3"/>
      <c r="K466" s="3"/>
      <c r="L466" s="3"/>
      <c r="M466" s="3"/>
      <c r="N466" s="3"/>
      <c r="O466" s="4"/>
      <c r="P466" s="3"/>
      <c r="Q466" s="3"/>
      <c r="R466" s="3"/>
      <c r="S466" s="3"/>
      <c r="T466" s="3"/>
      <c r="U466" s="16"/>
      <c r="V466" s="3"/>
      <c r="X466" s="19">
        <v>0</v>
      </c>
    </row>
    <row r="467" spans="2:24" x14ac:dyDescent="0.3">
      <c r="B467" s="16"/>
      <c r="C467" s="3"/>
      <c r="D467" s="3"/>
      <c r="E467" s="3"/>
      <c r="F467" s="46"/>
      <c r="G467" s="3"/>
      <c r="H467" s="3"/>
      <c r="I467" s="3"/>
      <c r="J467" s="3"/>
      <c r="K467" s="3"/>
      <c r="L467" s="3"/>
      <c r="M467" s="3"/>
      <c r="N467" s="3"/>
      <c r="O467" s="4"/>
      <c r="P467" s="3"/>
      <c r="Q467" s="3"/>
      <c r="R467" s="3"/>
      <c r="S467" s="3"/>
      <c r="T467" s="3"/>
      <c r="U467" s="16"/>
      <c r="V467" s="3"/>
      <c r="X467" s="19">
        <v>0</v>
      </c>
    </row>
    <row r="468" spans="2:24" x14ac:dyDescent="0.3">
      <c r="B468" s="16"/>
      <c r="C468" s="3"/>
      <c r="D468" s="3"/>
      <c r="E468" s="3"/>
      <c r="F468" s="46"/>
      <c r="G468" s="3"/>
      <c r="H468" s="3"/>
      <c r="I468" s="3"/>
      <c r="J468" s="3"/>
      <c r="K468" s="3"/>
      <c r="L468" s="3"/>
      <c r="M468" s="3"/>
      <c r="N468" s="3"/>
      <c r="O468" s="4"/>
      <c r="P468" s="3"/>
      <c r="Q468" s="3"/>
      <c r="R468" s="3"/>
      <c r="S468" s="3"/>
      <c r="T468" s="3"/>
      <c r="U468" s="16"/>
      <c r="V468" s="3"/>
      <c r="X468" s="19">
        <v>0</v>
      </c>
    </row>
    <row r="469" spans="2:24" x14ac:dyDescent="0.3">
      <c r="B469" s="16"/>
      <c r="C469" s="3"/>
      <c r="D469" s="3"/>
      <c r="E469" s="3"/>
      <c r="F469" s="46"/>
      <c r="G469" s="3"/>
      <c r="H469" s="3"/>
      <c r="I469" s="3"/>
      <c r="J469" s="3"/>
      <c r="K469" s="3"/>
      <c r="L469" s="3"/>
      <c r="M469" s="3"/>
      <c r="N469" s="3"/>
      <c r="O469" s="4"/>
      <c r="P469" s="3"/>
      <c r="Q469" s="3"/>
      <c r="R469" s="3"/>
      <c r="S469" s="3"/>
      <c r="T469" s="3"/>
      <c r="U469" s="16"/>
      <c r="V469" s="3"/>
      <c r="X469" s="19">
        <v>0</v>
      </c>
    </row>
    <row r="470" spans="2:24" x14ac:dyDescent="0.3">
      <c r="B470" s="16"/>
      <c r="C470" s="3"/>
      <c r="D470" s="3"/>
      <c r="E470" s="3"/>
      <c r="F470" s="46"/>
      <c r="G470" s="3"/>
      <c r="H470" s="3"/>
      <c r="I470" s="3"/>
      <c r="J470" s="3"/>
      <c r="K470" s="3"/>
      <c r="L470" s="3"/>
      <c r="M470" s="3"/>
      <c r="N470" s="3"/>
      <c r="O470" s="4"/>
      <c r="P470" s="3"/>
      <c r="Q470" s="3"/>
      <c r="R470" s="3"/>
      <c r="S470" s="3"/>
      <c r="T470" s="3"/>
      <c r="U470" s="16"/>
      <c r="V470" s="3"/>
      <c r="X470" s="19">
        <v>0</v>
      </c>
    </row>
    <row r="471" spans="2:24" x14ac:dyDescent="0.3">
      <c r="B471" s="16"/>
      <c r="C471" s="3"/>
      <c r="D471" s="3"/>
      <c r="E471" s="3"/>
      <c r="F471" s="46"/>
      <c r="G471" s="3"/>
      <c r="H471" s="3"/>
      <c r="I471" s="3"/>
      <c r="J471" s="3"/>
      <c r="K471" s="3"/>
      <c r="L471" s="3"/>
      <c r="M471" s="3"/>
      <c r="N471" s="3"/>
      <c r="O471" s="4"/>
      <c r="P471" s="3"/>
      <c r="Q471" s="3"/>
      <c r="R471" s="3"/>
      <c r="S471" s="3"/>
      <c r="T471" s="3"/>
      <c r="U471" s="16"/>
      <c r="V471" s="3"/>
      <c r="X471" s="19">
        <v>0</v>
      </c>
    </row>
    <row r="472" spans="2:24" x14ac:dyDescent="0.3">
      <c r="B472" s="16"/>
      <c r="C472" s="3"/>
      <c r="D472" s="3"/>
      <c r="E472" s="3"/>
      <c r="F472" s="46"/>
      <c r="G472" s="3"/>
      <c r="H472" s="3"/>
      <c r="I472" s="3"/>
      <c r="J472" s="3"/>
      <c r="K472" s="3"/>
      <c r="L472" s="3"/>
      <c r="M472" s="3"/>
      <c r="N472" s="3"/>
      <c r="O472" s="4"/>
      <c r="P472" s="3"/>
      <c r="Q472" s="3"/>
      <c r="R472" s="3"/>
      <c r="S472" s="3"/>
      <c r="T472" s="3"/>
      <c r="U472" s="16"/>
      <c r="V472" s="3"/>
      <c r="X472" s="19">
        <v>0</v>
      </c>
    </row>
    <row r="473" spans="2:24" x14ac:dyDescent="0.3">
      <c r="B473" s="16"/>
      <c r="C473" s="3"/>
      <c r="D473" s="3"/>
      <c r="E473" s="3"/>
      <c r="F473" s="46"/>
      <c r="G473" s="3"/>
      <c r="H473" s="3"/>
      <c r="I473" s="3"/>
      <c r="J473" s="3"/>
      <c r="K473" s="3"/>
      <c r="L473" s="3"/>
      <c r="M473" s="3"/>
      <c r="N473" s="3"/>
      <c r="O473" s="4"/>
      <c r="P473" s="3"/>
      <c r="Q473" s="3"/>
      <c r="R473" s="3"/>
      <c r="S473" s="3"/>
      <c r="T473" s="3"/>
      <c r="U473" s="16"/>
      <c r="V473" s="3"/>
      <c r="X473" s="19">
        <v>0</v>
      </c>
    </row>
    <row r="474" spans="2:24" x14ac:dyDescent="0.3">
      <c r="B474" s="16"/>
      <c r="C474" s="3"/>
      <c r="D474" s="3"/>
      <c r="E474" s="3"/>
      <c r="F474" s="46"/>
      <c r="G474" s="3"/>
      <c r="H474" s="3"/>
      <c r="I474" s="3"/>
      <c r="J474" s="3"/>
      <c r="K474" s="3"/>
      <c r="L474" s="3"/>
      <c r="M474" s="3"/>
      <c r="N474" s="3"/>
      <c r="O474" s="4"/>
      <c r="P474" s="3"/>
      <c r="Q474" s="3"/>
      <c r="R474" s="3"/>
      <c r="S474" s="3"/>
      <c r="T474" s="3"/>
      <c r="U474" s="16"/>
      <c r="V474" s="3"/>
      <c r="X474" s="19">
        <v>0</v>
      </c>
    </row>
    <row r="475" spans="2:24" x14ac:dyDescent="0.3">
      <c r="B475" s="16"/>
      <c r="C475" s="3"/>
      <c r="D475" s="3"/>
      <c r="E475" s="3"/>
      <c r="F475" s="46"/>
      <c r="G475" s="3"/>
      <c r="H475" s="3"/>
      <c r="I475" s="3"/>
      <c r="J475" s="3"/>
      <c r="K475" s="3"/>
      <c r="L475" s="3"/>
      <c r="M475" s="3"/>
      <c r="N475" s="3"/>
      <c r="O475" s="4"/>
      <c r="P475" s="3"/>
      <c r="Q475" s="3"/>
      <c r="R475" s="3"/>
      <c r="S475" s="3"/>
      <c r="T475" s="3"/>
      <c r="U475" s="16"/>
      <c r="V475" s="3"/>
      <c r="X475" s="19">
        <v>0</v>
      </c>
    </row>
    <row r="476" spans="2:24" x14ac:dyDescent="0.3">
      <c r="B476" s="16"/>
      <c r="C476" s="3"/>
      <c r="D476" s="3"/>
      <c r="E476" s="3"/>
      <c r="F476" s="46"/>
      <c r="G476" s="3"/>
      <c r="H476" s="3"/>
      <c r="I476" s="3"/>
      <c r="J476" s="3"/>
      <c r="K476" s="3"/>
      <c r="L476" s="3"/>
      <c r="M476" s="3"/>
      <c r="N476" s="3"/>
      <c r="O476" s="4"/>
      <c r="P476" s="3"/>
      <c r="Q476" s="3"/>
      <c r="R476" s="3"/>
      <c r="S476" s="3"/>
      <c r="T476" s="3"/>
      <c r="U476" s="16"/>
      <c r="V476" s="3"/>
      <c r="X476" s="19">
        <v>0</v>
      </c>
    </row>
    <row r="477" spans="2:24" x14ac:dyDescent="0.3">
      <c r="B477" s="16"/>
      <c r="C477" s="3"/>
      <c r="D477" s="3"/>
      <c r="E477" s="3"/>
      <c r="F477" s="46"/>
      <c r="G477" s="3"/>
      <c r="H477" s="3"/>
      <c r="I477" s="3"/>
      <c r="J477" s="3"/>
      <c r="K477" s="3"/>
      <c r="L477" s="3"/>
      <c r="M477" s="3"/>
      <c r="N477" s="3"/>
      <c r="O477" s="4"/>
      <c r="P477" s="3"/>
      <c r="Q477" s="3"/>
      <c r="R477" s="3"/>
      <c r="S477" s="3"/>
      <c r="T477" s="3"/>
      <c r="U477" s="16"/>
      <c r="V477" s="3"/>
      <c r="X477" s="19">
        <v>0</v>
      </c>
    </row>
    <row r="478" spans="2:24" x14ac:dyDescent="0.3">
      <c r="B478" s="16"/>
      <c r="C478" s="3"/>
      <c r="D478" s="3"/>
      <c r="E478" s="3"/>
      <c r="F478" s="46"/>
      <c r="G478" s="3"/>
      <c r="H478" s="3"/>
      <c r="I478" s="3"/>
      <c r="J478" s="3"/>
      <c r="K478" s="3"/>
      <c r="L478" s="3"/>
      <c r="M478" s="3"/>
      <c r="N478" s="3"/>
      <c r="O478" s="4"/>
      <c r="P478" s="3"/>
      <c r="Q478" s="3"/>
      <c r="R478" s="3"/>
      <c r="S478" s="3"/>
      <c r="T478" s="3"/>
      <c r="U478" s="16"/>
      <c r="V478" s="3"/>
      <c r="X478" s="19">
        <v>0</v>
      </c>
    </row>
    <row r="479" spans="2:24" x14ac:dyDescent="0.3">
      <c r="B479" s="16"/>
      <c r="C479" s="3"/>
      <c r="D479" s="3"/>
      <c r="E479" s="3"/>
      <c r="F479" s="46"/>
      <c r="G479" s="3"/>
      <c r="H479" s="3"/>
      <c r="I479" s="3"/>
      <c r="J479" s="3"/>
      <c r="K479" s="3"/>
      <c r="L479" s="3"/>
      <c r="M479" s="3"/>
      <c r="N479" s="3"/>
      <c r="O479" s="4"/>
      <c r="P479" s="3"/>
      <c r="Q479" s="3"/>
      <c r="R479" s="3"/>
      <c r="S479" s="3"/>
      <c r="T479" s="3"/>
      <c r="U479" s="16"/>
      <c r="V479" s="3"/>
      <c r="X479" s="19">
        <v>0</v>
      </c>
    </row>
    <row r="480" spans="2:24" x14ac:dyDescent="0.3">
      <c r="B480" s="16"/>
      <c r="C480" s="3"/>
      <c r="D480" s="3"/>
      <c r="E480" s="3"/>
      <c r="F480" s="46"/>
      <c r="G480" s="3"/>
      <c r="H480" s="3"/>
      <c r="I480" s="3"/>
      <c r="J480" s="3"/>
      <c r="K480" s="3"/>
      <c r="L480" s="3"/>
      <c r="M480" s="3"/>
      <c r="N480" s="3"/>
      <c r="O480" s="4"/>
      <c r="P480" s="3"/>
      <c r="Q480" s="3"/>
      <c r="R480" s="3"/>
      <c r="S480" s="3"/>
      <c r="T480" s="3"/>
      <c r="U480" s="16"/>
      <c r="V480" s="3"/>
      <c r="X480" s="19">
        <v>0</v>
      </c>
    </row>
    <row r="481" spans="2:24" x14ac:dyDescent="0.3">
      <c r="B481" s="16"/>
      <c r="C481" s="3"/>
      <c r="D481" s="3"/>
      <c r="E481" s="3"/>
      <c r="F481" s="46"/>
      <c r="G481" s="3"/>
      <c r="H481" s="3"/>
      <c r="I481" s="3"/>
      <c r="J481" s="3"/>
      <c r="K481" s="3"/>
      <c r="L481" s="3"/>
      <c r="M481" s="3"/>
      <c r="N481" s="3"/>
      <c r="O481" s="4"/>
      <c r="P481" s="3"/>
      <c r="Q481" s="3"/>
      <c r="R481" s="3"/>
      <c r="S481" s="3"/>
      <c r="T481" s="3"/>
      <c r="U481" s="16"/>
      <c r="V481" s="3"/>
      <c r="X481" s="19">
        <v>0</v>
      </c>
    </row>
    <row r="482" spans="2:24" x14ac:dyDescent="0.3">
      <c r="B482" s="16"/>
      <c r="C482" s="3"/>
      <c r="D482" s="3"/>
      <c r="E482" s="3"/>
      <c r="F482" s="46"/>
      <c r="G482" s="3"/>
      <c r="H482" s="3"/>
      <c r="I482" s="3"/>
      <c r="J482" s="3"/>
      <c r="K482" s="3"/>
      <c r="L482" s="3"/>
      <c r="M482" s="3"/>
      <c r="N482" s="3"/>
      <c r="O482" s="4"/>
      <c r="P482" s="3"/>
      <c r="Q482" s="3"/>
      <c r="R482" s="3"/>
      <c r="S482" s="3"/>
      <c r="T482" s="3"/>
      <c r="U482" s="16"/>
      <c r="V482" s="3"/>
      <c r="X482" s="19">
        <v>0</v>
      </c>
    </row>
    <row r="483" spans="2:24" x14ac:dyDescent="0.3">
      <c r="B483" s="16"/>
      <c r="C483" s="3"/>
      <c r="D483" s="3"/>
      <c r="E483" s="3"/>
      <c r="F483" s="46"/>
      <c r="G483" s="3"/>
      <c r="H483" s="3"/>
      <c r="I483" s="3"/>
      <c r="J483" s="3"/>
      <c r="K483" s="3"/>
      <c r="L483" s="3"/>
      <c r="M483" s="3"/>
      <c r="N483" s="3"/>
      <c r="O483" s="4"/>
      <c r="P483" s="3"/>
      <c r="Q483" s="3"/>
      <c r="R483" s="3"/>
      <c r="S483" s="3"/>
      <c r="T483" s="3"/>
      <c r="U483" s="16"/>
      <c r="V483" s="3"/>
      <c r="X483" s="19">
        <v>0</v>
      </c>
    </row>
    <row r="484" spans="2:24" x14ac:dyDescent="0.3">
      <c r="B484" s="16"/>
      <c r="C484" s="3"/>
      <c r="D484" s="3"/>
      <c r="E484" s="3"/>
      <c r="F484" s="46"/>
      <c r="G484" s="3"/>
      <c r="H484" s="3"/>
      <c r="I484" s="3"/>
      <c r="J484" s="3"/>
      <c r="K484" s="3"/>
      <c r="L484" s="3"/>
      <c r="M484" s="3"/>
      <c r="N484" s="3"/>
      <c r="O484" s="4"/>
      <c r="P484" s="3"/>
      <c r="Q484" s="3"/>
      <c r="R484" s="3"/>
      <c r="S484" s="3"/>
      <c r="T484" s="3"/>
      <c r="U484" s="16"/>
      <c r="V484" s="3"/>
      <c r="X484" s="19">
        <v>0</v>
      </c>
    </row>
    <row r="485" spans="2:24" x14ac:dyDescent="0.3">
      <c r="B485" s="16"/>
      <c r="C485" s="3"/>
      <c r="D485" s="3"/>
      <c r="E485" s="3"/>
      <c r="F485" s="46"/>
      <c r="G485" s="3"/>
      <c r="H485" s="3"/>
      <c r="I485" s="3"/>
      <c r="J485" s="3"/>
      <c r="K485" s="3"/>
      <c r="L485" s="3"/>
      <c r="M485" s="3"/>
      <c r="N485" s="3"/>
      <c r="O485" s="4"/>
      <c r="P485" s="3"/>
      <c r="Q485" s="3"/>
      <c r="R485" s="3"/>
      <c r="S485" s="3"/>
      <c r="T485" s="3"/>
      <c r="U485" s="16"/>
      <c r="V485" s="3"/>
      <c r="X485" s="19">
        <v>0</v>
      </c>
    </row>
    <row r="486" spans="2:24" x14ac:dyDescent="0.3">
      <c r="B486" s="16"/>
      <c r="C486" s="3"/>
      <c r="D486" s="3"/>
      <c r="E486" s="3"/>
      <c r="F486" s="46"/>
      <c r="G486" s="3"/>
      <c r="H486" s="3"/>
      <c r="I486" s="3"/>
      <c r="J486" s="3"/>
      <c r="K486" s="3"/>
      <c r="L486" s="3"/>
      <c r="M486" s="3"/>
      <c r="N486" s="3"/>
      <c r="O486" s="4"/>
      <c r="P486" s="3"/>
      <c r="Q486" s="3"/>
      <c r="R486" s="3"/>
      <c r="S486" s="3"/>
      <c r="T486" s="3"/>
      <c r="U486" s="16"/>
      <c r="V486" s="3"/>
      <c r="X486" s="19">
        <v>0</v>
      </c>
    </row>
    <row r="487" spans="2:24" x14ac:dyDescent="0.3">
      <c r="B487" s="16"/>
      <c r="C487" s="3"/>
      <c r="D487" s="3"/>
      <c r="E487" s="3"/>
      <c r="F487" s="46"/>
      <c r="G487" s="3"/>
      <c r="H487" s="3"/>
      <c r="I487" s="3"/>
      <c r="J487" s="3"/>
      <c r="K487" s="3"/>
      <c r="L487" s="3"/>
      <c r="M487" s="3"/>
      <c r="N487" s="3"/>
      <c r="O487" s="4"/>
      <c r="P487" s="3"/>
      <c r="Q487" s="3"/>
      <c r="R487" s="3"/>
      <c r="S487" s="3"/>
      <c r="T487" s="3"/>
      <c r="U487" s="16"/>
      <c r="V487" s="3"/>
      <c r="X487" s="19">
        <v>0</v>
      </c>
    </row>
    <row r="488" spans="2:24" x14ac:dyDescent="0.3">
      <c r="B488" s="16"/>
      <c r="C488" s="3"/>
      <c r="D488" s="3"/>
      <c r="E488" s="3"/>
      <c r="F488" s="46"/>
      <c r="G488" s="3"/>
      <c r="H488" s="3"/>
      <c r="I488" s="3"/>
      <c r="J488" s="3"/>
      <c r="K488" s="3"/>
      <c r="L488" s="3"/>
      <c r="M488" s="3"/>
      <c r="N488" s="3"/>
      <c r="O488" s="4"/>
      <c r="P488" s="3"/>
      <c r="Q488" s="3"/>
      <c r="R488" s="3"/>
      <c r="S488" s="3"/>
      <c r="T488" s="3"/>
      <c r="U488" s="16"/>
      <c r="V488" s="3"/>
      <c r="X488" s="19">
        <v>0</v>
      </c>
    </row>
    <row r="489" spans="2:24" x14ac:dyDescent="0.3">
      <c r="B489" s="16"/>
      <c r="C489" s="3"/>
      <c r="D489" s="3"/>
      <c r="E489" s="3"/>
      <c r="F489" s="46"/>
      <c r="G489" s="3"/>
      <c r="H489" s="3"/>
      <c r="I489" s="3"/>
      <c r="J489" s="3"/>
      <c r="K489" s="3"/>
      <c r="L489" s="3"/>
      <c r="M489" s="3"/>
      <c r="N489" s="3"/>
      <c r="O489" s="4"/>
      <c r="P489" s="3"/>
      <c r="Q489" s="3"/>
      <c r="R489" s="3"/>
      <c r="S489" s="3"/>
      <c r="T489" s="3"/>
      <c r="U489" s="16"/>
      <c r="V489" s="3"/>
      <c r="X489" s="19">
        <v>0</v>
      </c>
    </row>
    <row r="490" spans="2:24" x14ac:dyDescent="0.3">
      <c r="B490" s="16"/>
      <c r="C490" s="3"/>
      <c r="D490" s="3"/>
      <c r="E490" s="3"/>
      <c r="F490" s="46"/>
      <c r="G490" s="3"/>
      <c r="H490" s="3"/>
      <c r="I490" s="3"/>
      <c r="J490" s="3"/>
      <c r="K490" s="3"/>
      <c r="L490" s="3"/>
      <c r="M490" s="3"/>
      <c r="N490" s="3"/>
      <c r="O490" s="4"/>
      <c r="P490" s="3"/>
      <c r="Q490" s="3"/>
      <c r="R490" s="3"/>
      <c r="S490" s="3"/>
      <c r="T490" s="3"/>
      <c r="U490" s="16"/>
      <c r="V490" s="3"/>
      <c r="X490" s="19">
        <v>0</v>
      </c>
    </row>
    <row r="491" spans="2:24" x14ac:dyDescent="0.3">
      <c r="B491" s="16"/>
      <c r="C491" s="3"/>
      <c r="D491" s="3"/>
      <c r="E491" s="3"/>
      <c r="F491" s="46"/>
      <c r="G491" s="3"/>
      <c r="H491" s="3"/>
      <c r="I491" s="3"/>
      <c r="J491" s="3"/>
      <c r="K491" s="3"/>
      <c r="L491" s="3"/>
      <c r="M491" s="3"/>
      <c r="N491" s="3"/>
      <c r="O491" s="4"/>
      <c r="P491" s="3"/>
      <c r="Q491" s="3"/>
      <c r="R491" s="3"/>
      <c r="S491" s="3"/>
      <c r="T491" s="3"/>
      <c r="U491" s="16"/>
      <c r="V491" s="3"/>
      <c r="X491" s="19">
        <v>0</v>
      </c>
    </row>
    <row r="492" spans="2:24" x14ac:dyDescent="0.3">
      <c r="B492" s="16"/>
      <c r="C492" s="3"/>
      <c r="D492" s="3"/>
      <c r="E492" s="3"/>
      <c r="F492" s="46"/>
      <c r="G492" s="3"/>
      <c r="H492" s="3"/>
      <c r="I492" s="3"/>
      <c r="J492" s="3"/>
      <c r="K492" s="3"/>
      <c r="L492" s="3"/>
      <c r="M492" s="3"/>
      <c r="N492" s="3"/>
      <c r="O492" s="4"/>
      <c r="P492" s="3"/>
      <c r="Q492" s="3"/>
      <c r="R492" s="3"/>
      <c r="S492" s="3"/>
      <c r="T492" s="3"/>
      <c r="U492" s="16"/>
      <c r="V492" s="3"/>
      <c r="X492" s="19">
        <v>0</v>
      </c>
    </row>
    <row r="493" spans="2:24" x14ac:dyDescent="0.3">
      <c r="B493" s="16"/>
      <c r="C493" s="3"/>
      <c r="D493" s="3"/>
      <c r="E493" s="3"/>
      <c r="F493" s="46"/>
      <c r="G493" s="3"/>
      <c r="H493" s="3"/>
      <c r="I493" s="3"/>
      <c r="J493" s="3"/>
      <c r="K493" s="3"/>
      <c r="L493" s="3"/>
      <c r="M493" s="3"/>
      <c r="N493" s="3"/>
      <c r="O493" s="4"/>
      <c r="P493" s="3"/>
      <c r="Q493" s="3"/>
      <c r="R493" s="3"/>
      <c r="S493" s="3"/>
      <c r="T493" s="3"/>
      <c r="U493" s="16"/>
      <c r="V493" s="3"/>
      <c r="X493" s="19">
        <v>0</v>
      </c>
    </row>
    <row r="494" spans="2:24" x14ac:dyDescent="0.3">
      <c r="B494" s="16"/>
      <c r="C494" s="3"/>
      <c r="D494" s="3"/>
      <c r="E494" s="3"/>
      <c r="F494" s="46"/>
      <c r="G494" s="3"/>
      <c r="H494" s="3"/>
      <c r="I494" s="3"/>
      <c r="J494" s="3"/>
      <c r="K494" s="3"/>
      <c r="L494" s="3"/>
      <c r="M494" s="3"/>
      <c r="N494" s="3"/>
      <c r="O494" s="4"/>
      <c r="P494" s="3"/>
      <c r="Q494" s="3"/>
      <c r="R494" s="3"/>
      <c r="S494" s="3"/>
      <c r="T494" s="3"/>
      <c r="U494" s="16"/>
      <c r="V494" s="3"/>
      <c r="X494" s="19">
        <v>0</v>
      </c>
    </row>
    <row r="495" spans="2:24" x14ac:dyDescent="0.3">
      <c r="B495" s="16"/>
      <c r="C495" s="3"/>
      <c r="D495" s="3"/>
      <c r="E495" s="3"/>
      <c r="F495" s="46"/>
      <c r="G495" s="3"/>
      <c r="H495" s="3"/>
      <c r="I495" s="3"/>
      <c r="J495" s="3"/>
      <c r="K495" s="3"/>
      <c r="L495" s="3"/>
      <c r="M495" s="3"/>
      <c r="N495" s="3"/>
      <c r="O495" s="4"/>
      <c r="P495" s="3"/>
      <c r="Q495" s="3"/>
      <c r="R495" s="3"/>
      <c r="S495" s="3"/>
      <c r="T495" s="3"/>
      <c r="U495" s="16"/>
      <c r="V495" s="3"/>
      <c r="X495" s="19">
        <v>0</v>
      </c>
    </row>
    <row r="496" spans="2:24" x14ac:dyDescent="0.3">
      <c r="B496" s="16"/>
      <c r="C496" s="3"/>
      <c r="D496" s="3"/>
      <c r="E496" s="3"/>
      <c r="F496" s="46"/>
      <c r="G496" s="3"/>
      <c r="H496" s="3"/>
      <c r="I496" s="3"/>
      <c r="J496" s="3"/>
      <c r="K496" s="3"/>
      <c r="L496" s="3"/>
      <c r="M496" s="3"/>
      <c r="N496" s="3"/>
      <c r="O496" s="4"/>
      <c r="P496" s="3"/>
      <c r="Q496" s="3"/>
      <c r="R496" s="3"/>
      <c r="S496" s="3"/>
      <c r="T496" s="3"/>
      <c r="U496" s="16"/>
      <c r="V496" s="3"/>
      <c r="X496" s="19">
        <v>0</v>
      </c>
    </row>
    <row r="497" spans="2:24" x14ac:dyDescent="0.3">
      <c r="B497" s="16"/>
      <c r="C497" s="3"/>
      <c r="D497" s="3"/>
      <c r="E497" s="3"/>
      <c r="F497" s="46"/>
      <c r="G497" s="3"/>
      <c r="H497" s="3"/>
      <c r="I497" s="3"/>
      <c r="J497" s="3"/>
      <c r="K497" s="3"/>
      <c r="L497" s="3"/>
      <c r="M497" s="3"/>
      <c r="N497" s="3"/>
      <c r="O497" s="4"/>
      <c r="P497" s="3"/>
      <c r="Q497" s="3"/>
      <c r="R497" s="3"/>
      <c r="S497" s="3"/>
      <c r="T497" s="3"/>
      <c r="U497" s="16"/>
      <c r="V497" s="3"/>
      <c r="X497" s="19">
        <v>0</v>
      </c>
    </row>
    <row r="498" spans="2:24" x14ac:dyDescent="0.3">
      <c r="B498" s="16"/>
      <c r="C498" s="3"/>
      <c r="D498" s="3"/>
      <c r="E498" s="3"/>
      <c r="F498" s="46"/>
      <c r="G498" s="3"/>
      <c r="H498" s="3"/>
      <c r="I498" s="3"/>
      <c r="J498" s="3"/>
      <c r="K498" s="3"/>
      <c r="L498" s="3"/>
      <c r="M498" s="3"/>
      <c r="N498" s="3"/>
      <c r="O498" s="4"/>
      <c r="P498" s="3"/>
      <c r="Q498" s="3"/>
      <c r="R498" s="3"/>
      <c r="S498" s="3"/>
      <c r="T498" s="3"/>
      <c r="U498" s="16"/>
      <c r="V498" s="3"/>
      <c r="X498" s="19">
        <v>0</v>
      </c>
    </row>
    <row r="499" spans="2:24" x14ac:dyDescent="0.3">
      <c r="B499" s="16"/>
      <c r="C499" s="3"/>
      <c r="D499" s="3"/>
      <c r="E499" s="3"/>
      <c r="F499" s="46"/>
      <c r="G499" s="3"/>
      <c r="H499" s="3"/>
      <c r="I499" s="3"/>
      <c r="J499" s="3"/>
      <c r="K499" s="3"/>
      <c r="L499" s="3"/>
      <c r="M499" s="3"/>
      <c r="N499" s="3"/>
      <c r="O499" s="4"/>
      <c r="P499" s="3"/>
      <c r="Q499" s="3"/>
      <c r="R499" s="3"/>
      <c r="S499" s="3"/>
      <c r="T499" s="3"/>
      <c r="U499" s="16"/>
      <c r="V499" s="3"/>
      <c r="X499" s="19">
        <v>0</v>
      </c>
    </row>
    <row r="500" spans="2:24" x14ac:dyDescent="0.3">
      <c r="B500" s="16"/>
      <c r="C500" s="3"/>
      <c r="D500" s="3"/>
      <c r="E500" s="3"/>
      <c r="F500" s="46"/>
      <c r="G500" s="3"/>
      <c r="H500" s="3"/>
      <c r="I500" s="3"/>
      <c r="J500" s="3"/>
      <c r="K500" s="3"/>
      <c r="L500" s="3"/>
      <c r="M500" s="3"/>
      <c r="N500" s="3"/>
      <c r="O500" s="4"/>
      <c r="P500" s="3"/>
      <c r="Q500" s="3"/>
      <c r="R500" s="3"/>
      <c r="S500" s="3"/>
      <c r="T500" s="3"/>
      <c r="U500" s="16"/>
      <c r="V500" s="3"/>
      <c r="X500" s="19">
        <v>0</v>
      </c>
    </row>
    <row r="501" spans="2:24" x14ac:dyDescent="0.3">
      <c r="B501" s="16"/>
      <c r="C501" s="3"/>
      <c r="D501" s="3"/>
      <c r="E501" s="3"/>
      <c r="F501" s="46"/>
      <c r="G501" s="3"/>
      <c r="H501" s="3"/>
      <c r="I501" s="3"/>
      <c r="J501" s="3"/>
      <c r="K501" s="3"/>
      <c r="L501" s="3"/>
      <c r="M501" s="3"/>
      <c r="N501" s="3"/>
      <c r="O501" s="4"/>
      <c r="P501" s="3"/>
      <c r="Q501" s="3"/>
      <c r="R501" s="3"/>
      <c r="S501" s="3"/>
      <c r="T501" s="3"/>
      <c r="U501" s="16"/>
      <c r="V501" s="3"/>
      <c r="X501" s="19">
        <v>0</v>
      </c>
    </row>
    <row r="502" spans="2:24" x14ac:dyDescent="0.3">
      <c r="B502" s="16"/>
      <c r="C502" s="3"/>
      <c r="D502" s="3"/>
      <c r="E502" s="3"/>
      <c r="F502" s="46"/>
      <c r="G502" s="3"/>
      <c r="H502" s="3"/>
      <c r="I502" s="3"/>
      <c r="J502" s="3"/>
      <c r="K502" s="3"/>
      <c r="L502" s="3"/>
      <c r="M502" s="3"/>
      <c r="N502" s="3"/>
      <c r="O502" s="4"/>
      <c r="P502" s="3"/>
      <c r="Q502" s="3"/>
      <c r="R502" s="3"/>
      <c r="S502" s="3"/>
      <c r="T502" s="3"/>
      <c r="U502" s="16"/>
      <c r="V502" s="3"/>
      <c r="X502" s="19">
        <v>0</v>
      </c>
    </row>
    <row r="503" spans="2:24" x14ac:dyDescent="0.3">
      <c r="B503" s="16"/>
      <c r="C503" s="3"/>
      <c r="D503" s="3"/>
      <c r="E503" s="3"/>
      <c r="F503" s="46"/>
      <c r="G503" s="3"/>
      <c r="H503" s="3"/>
      <c r="I503" s="3"/>
      <c r="J503" s="3"/>
      <c r="K503" s="3"/>
      <c r="L503" s="3"/>
      <c r="M503" s="3"/>
      <c r="N503" s="3"/>
      <c r="O503" s="4"/>
      <c r="P503" s="3"/>
      <c r="Q503" s="3"/>
      <c r="R503" s="3"/>
      <c r="S503" s="3"/>
      <c r="T503" s="3"/>
      <c r="U503" s="16"/>
      <c r="V503" s="3"/>
      <c r="X503" s="19">
        <v>0</v>
      </c>
    </row>
    <row r="504" spans="2:24" x14ac:dyDescent="0.3">
      <c r="B504" s="16"/>
      <c r="C504" s="3"/>
      <c r="D504" s="3"/>
      <c r="E504" s="3"/>
      <c r="F504" s="46"/>
      <c r="G504" s="3"/>
      <c r="H504" s="3"/>
      <c r="I504" s="3"/>
      <c r="J504" s="3"/>
      <c r="K504" s="3"/>
      <c r="L504" s="3"/>
      <c r="M504" s="3"/>
      <c r="N504" s="3"/>
      <c r="O504" s="4"/>
      <c r="P504" s="3"/>
      <c r="Q504" s="3"/>
      <c r="R504" s="3"/>
      <c r="S504" s="3"/>
      <c r="T504" s="3"/>
      <c r="U504" s="16"/>
      <c r="V504" s="3"/>
      <c r="X504" s="19">
        <v>0</v>
      </c>
    </row>
    <row r="505" spans="2:24" x14ac:dyDescent="0.3">
      <c r="B505" s="16"/>
      <c r="C505" s="3"/>
      <c r="D505" s="3"/>
      <c r="E505" s="3"/>
      <c r="F505" s="46"/>
      <c r="G505" s="3"/>
      <c r="H505" s="3"/>
      <c r="I505" s="3"/>
      <c r="J505" s="3"/>
      <c r="K505" s="3"/>
      <c r="L505" s="3"/>
      <c r="M505" s="3"/>
      <c r="N505" s="3"/>
      <c r="O505" s="4"/>
      <c r="P505" s="3"/>
      <c r="Q505" s="3"/>
      <c r="R505" s="3"/>
      <c r="S505" s="3"/>
      <c r="T505" s="3"/>
      <c r="U505" s="16"/>
      <c r="V505" s="3"/>
      <c r="X505" s="19">
        <v>0</v>
      </c>
    </row>
    <row r="506" spans="2:24" x14ac:dyDescent="0.3">
      <c r="B506" s="16"/>
      <c r="C506" s="3"/>
      <c r="D506" s="3"/>
      <c r="E506" s="3"/>
      <c r="F506" s="46"/>
      <c r="G506" s="3"/>
      <c r="H506" s="3"/>
      <c r="I506" s="3"/>
      <c r="J506" s="3"/>
      <c r="K506" s="3"/>
      <c r="L506" s="3"/>
      <c r="M506" s="3"/>
      <c r="N506" s="3"/>
      <c r="O506" s="4"/>
      <c r="P506" s="3"/>
      <c r="Q506" s="3"/>
      <c r="R506" s="3"/>
      <c r="S506" s="3"/>
      <c r="T506" s="3"/>
      <c r="U506" s="16"/>
      <c r="V506" s="3"/>
      <c r="X506" s="19">
        <v>0</v>
      </c>
    </row>
    <row r="507" spans="2:24" x14ac:dyDescent="0.3">
      <c r="B507" s="16"/>
      <c r="C507" s="3"/>
      <c r="D507" s="3"/>
      <c r="E507" s="3"/>
      <c r="F507" s="46"/>
      <c r="G507" s="3"/>
      <c r="H507" s="3"/>
      <c r="I507" s="3"/>
      <c r="J507" s="3"/>
      <c r="K507" s="3"/>
      <c r="L507" s="3"/>
      <c r="M507" s="3"/>
      <c r="N507" s="3"/>
      <c r="O507" s="4"/>
      <c r="P507" s="3"/>
      <c r="Q507" s="3"/>
      <c r="R507" s="3"/>
      <c r="S507" s="3"/>
      <c r="T507" s="3"/>
      <c r="U507" s="16"/>
      <c r="V507" s="3"/>
      <c r="X507" s="19">
        <v>0</v>
      </c>
    </row>
    <row r="508" spans="2:24" x14ac:dyDescent="0.3">
      <c r="B508" s="16"/>
      <c r="C508" s="3"/>
      <c r="D508" s="3"/>
      <c r="E508" s="3"/>
      <c r="F508" s="46"/>
      <c r="G508" s="3"/>
      <c r="H508" s="3"/>
      <c r="I508" s="3"/>
      <c r="J508" s="3"/>
      <c r="K508" s="3"/>
      <c r="L508" s="3"/>
      <c r="M508" s="3"/>
      <c r="N508" s="3"/>
      <c r="O508" s="4"/>
      <c r="P508" s="3"/>
      <c r="Q508" s="3"/>
      <c r="R508" s="3"/>
      <c r="S508" s="3"/>
      <c r="T508" s="3"/>
      <c r="U508" s="16"/>
      <c r="V508" s="3"/>
      <c r="X508" s="19">
        <v>0</v>
      </c>
    </row>
    <row r="509" spans="2:24" x14ac:dyDescent="0.3">
      <c r="B509" s="16"/>
      <c r="C509" s="3"/>
      <c r="D509" s="3"/>
      <c r="E509" s="3"/>
      <c r="F509" s="46"/>
      <c r="G509" s="3"/>
      <c r="H509" s="3"/>
      <c r="I509" s="3"/>
      <c r="J509" s="3"/>
      <c r="K509" s="3"/>
      <c r="L509" s="3"/>
      <c r="M509" s="3"/>
      <c r="N509" s="3"/>
      <c r="O509" s="4"/>
      <c r="P509" s="3"/>
      <c r="Q509" s="3"/>
      <c r="R509" s="3"/>
      <c r="S509" s="3"/>
      <c r="T509" s="3"/>
      <c r="U509" s="16"/>
      <c r="V509" s="3"/>
      <c r="X509" s="19">
        <v>0</v>
      </c>
    </row>
    <row r="510" spans="2:24" x14ac:dyDescent="0.3">
      <c r="B510" s="16"/>
      <c r="C510" s="3"/>
      <c r="D510" s="3"/>
      <c r="E510" s="3"/>
      <c r="F510" s="46"/>
      <c r="G510" s="3"/>
      <c r="H510" s="3"/>
      <c r="I510" s="3"/>
      <c r="J510" s="3"/>
      <c r="K510" s="3"/>
      <c r="L510" s="3"/>
      <c r="M510" s="3"/>
      <c r="N510" s="3"/>
      <c r="O510" s="4"/>
      <c r="P510" s="3"/>
      <c r="Q510" s="3"/>
      <c r="R510" s="3"/>
      <c r="S510" s="3"/>
      <c r="T510" s="3"/>
      <c r="U510" s="16"/>
      <c r="V510" s="3"/>
      <c r="X510" s="19">
        <v>0</v>
      </c>
    </row>
    <row r="511" spans="2:24" x14ac:dyDescent="0.3">
      <c r="B511" s="16"/>
      <c r="C511" s="3"/>
      <c r="D511" s="3"/>
      <c r="E511" s="3"/>
      <c r="F511" s="46"/>
      <c r="G511" s="3"/>
      <c r="H511" s="3"/>
      <c r="I511" s="3"/>
      <c r="J511" s="3"/>
      <c r="K511" s="3"/>
      <c r="L511" s="3"/>
      <c r="M511" s="3"/>
      <c r="N511" s="3"/>
      <c r="O511" s="4"/>
      <c r="P511" s="3"/>
      <c r="Q511" s="3"/>
      <c r="R511" s="3"/>
      <c r="S511" s="3"/>
      <c r="T511" s="3"/>
      <c r="U511" s="16"/>
      <c r="V511" s="3"/>
      <c r="X511" s="19">
        <v>0</v>
      </c>
    </row>
    <row r="512" spans="2:24" x14ac:dyDescent="0.3">
      <c r="B512" s="16"/>
      <c r="C512" s="3"/>
      <c r="D512" s="3"/>
      <c r="E512" s="3"/>
      <c r="F512" s="46"/>
      <c r="G512" s="3"/>
      <c r="H512" s="3"/>
      <c r="I512" s="3"/>
      <c r="J512" s="3"/>
      <c r="K512" s="3"/>
      <c r="L512" s="3"/>
      <c r="M512" s="3"/>
      <c r="N512" s="3"/>
      <c r="O512" s="4"/>
      <c r="P512" s="3"/>
      <c r="Q512" s="3"/>
      <c r="R512" s="3"/>
      <c r="S512" s="3"/>
      <c r="T512" s="3"/>
      <c r="U512" s="16"/>
      <c r="V512" s="3"/>
      <c r="X512" s="19">
        <v>0</v>
      </c>
    </row>
    <row r="513" spans="2:24" x14ac:dyDescent="0.3">
      <c r="B513" s="16"/>
      <c r="C513" s="3"/>
      <c r="D513" s="3"/>
      <c r="E513" s="3"/>
      <c r="F513" s="46"/>
      <c r="G513" s="3"/>
      <c r="H513" s="3"/>
      <c r="I513" s="3"/>
      <c r="J513" s="3"/>
      <c r="K513" s="3"/>
      <c r="L513" s="3"/>
      <c r="M513" s="3"/>
      <c r="N513" s="3"/>
      <c r="O513" s="4"/>
      <c r="P513" s="3"/>
      <c r="Q513" s="3"/>
      <c r="R513" s="3"/>
      <c r="S513" s="3"/>
      <c r="T513" s="3"/>
      <c r="U513" s="16"/>
      <c r="V513" s="3"/>
      <c r="X513" s="19">
        <v>0</v>
      </c>
    </row>
    <row r="514" spans="2:24" x14ac:dyDescent="0.3">
      <c r="B514" s="16"/>
      <c r="C514" s="3"/>
      <c r="D514" s="3"/>
      <c r="E514" s="3"/>
      <c r="F514" s="46"/>
      <c r="G514" s="3"/>
      <c r="H514" s="3"/>
      <c r="I514" s="3"/>
      <c r="J514" s="3"/>
      <c r="K514" s="3"/>
      <c r="L514" s="3"/>
      <c r="M514" s="3"/>
      <c r="N514" s="3"/>
      <c r="O514" s="4"/>
      <c r="P514" s="3"/>
      <c r="Q514" s="3"/>
      <c r="R514" s="3"/>
      <c r="S514" s="3"/>
      <c r="T514" s="3"/>
      <c r="U514" s="16"/>
      <c r="V514" s="3"/>
      <c r="X514" s="19">
        <v>0</v>
      </c>
    </row>
    <row r="515" spans="2:24" x14ac:dyDescent="0.3">
      <c r="B515" s="16"/>
      <c r="C515" s="3"/>
      <c r="D515" s="3"/>
      <c r="E515" s="3"/>
      <c r="F515" s="46"/>
      <c r="G515" s="3"/>
      <c r="H515" s="3"/>
      <c r="I515" s="3"/>
      <c r="J515" s="3"/>
      <c r="K515" s="3"/>
      <c r="L515" s="3"/>
      <c r="M515" s="3"/>
      <c r="N515" s="3"/>
      <c r="O515" s="4"/>
      <c r="P515" s="3"/>
      <c r="Q515" s="3"/>
      <c r="R515" s="3"/>
      <c r="S515" s="3"/>
      <c r="T515" s="3"/>
      <c r="U515" s="16"/>
      <c r="V515" s="3"/>
      <c r="X515" s="19">
        <v>0</v>
      </c>
    </row>
    <row r="516" spans="2:24" x14ac:dyDescent="0.3">
      <c r="B516" s="16"/>
      <c r="C516" s="3"/>
      <c r="D516" s="3"/>
      <c r="E516" s="3"/>
      <c r="F516" s="46"/>
      <c r="G516" s="3"/>
      <c r="H516" s="3"/>
      <c r="I516" s="3"/>
      <c r="J516" s="3"/>
      <c r="K516" s="3"/>
      <c r="L516" s="3"/>
      <c r="M516" s="3"/>
      <c r="N516" s="3"/>
      <c r="O516" s="4"/>
      <c r="P516" s="3"/>
      <c r="Q516" s="3"/>
      <c r="R516" s="3"/>
      <c r="S516" s="3"/>
      <c r="T516" s="3"/>
      <c r="U516" s="16"/>
      <c r="V516" s="3"/>
      <c r="X516" s="19">
        <v>0</v>
      </c>
    </row>
    <row r="517" spans="2:24" x14ac:dyDescent="0.3">
      <c r="B517" s="16"/>
      <c r="C517" s="3"/>
      <c r="D517" s="3"/>
      <c r="E517" s="3"/>
      <c r="F517" s="46"/>
      <c r="G517" s="3"/>
      <c r="H517" s="3"/>
      <c r="I517" s="3"/>
      <c r="J517" s="3"/>
      <c r="K517" s="3"/>
      <c r="L517" s="3"/>
      <c r="M517" s="3"/>
      <c r="N517" s="3"/>
      <c r="O517" s="4"/>
      <c r="P517" s="3"/>
      <c r="Q517" s="3"/>
      <c r="R517" s="3"/>
      <c r="S517" s="3"/>
      <c r="T517" s="3"/>
      <c r="U517" s="16"/>
      <c r="V517" s="3"/>
      <c r="X517" s="19">
        <v>0</v>
      </c>
    </row>
    <row r="518" spans="2:24" x14ac:dyDescent="0.3">
      <c r="B518" s="16"/>
      <c r="C518" s="3"/>
      <c r="D518" s="3"/>
      <c r="E518" s="3"/>
      <c r="F518" s="46"/>
      <c r="G518" s="3"/>
      <c r="H518" s="3"/>
      <c r="I518" s="3"/>
      <c r="J518" s="3"/>
      <c r="K518" s="3"/>
      <c r="L518" s="3"/>
      <c r="M518" s="3"/>
      <c r="N518" s="3"/>
      <c r="O518" s="4"/>
      <c r="P518" s="3"/>
      <c r="Q518" s="3"/>
      <c r="R518" s="3"/>
      <c r="S518" s="3"/>
      <c r="T518" s="3"/>
      <c r="U518" s="16"/>
      <c r="V518" s="3"/>
      <c r="X518" s="19">
        <v>0</v>
      </c>
    </row>
    <row r="519" spans="2:24" x14ac:dyDescent="0.3">
      <c r="B519" s="16"/>
      <c r="C519" s="3"/>
      <c r="D519" s="3"/>
      <c r="E519" s="3"/>
      <c r="F519" s="46"/>
      <c r="G519" s="3"/>
      <c r="H519" s="3"/>
      <c r="I519" s="3"/>
      <c r="J519" s="3"/>
      <c r="K519" s="3"/>
      <c r="L519" s="3"/>
      <c r="M519" s="3"/>
      <c r="N519" s="3"/>
      <c r="O519" s="4"/>
      <c r="P519" s="3"/>
      <c r="Q519" s="3"/>
      <c r="R519" s="3"/>
      <c r="S519" s="3"/>
      <c r="T519" s="3"/>
      <c r="U519" s="16"/>
      <c r="V519" s="3"/>
      <c r="X519" s="19">
        <v>0</v>
      </c>
    </row>
    <row r="520" spans="2:24" x14ac:dyDescent="0.3">
      <c r="B520" s="16"/>
      <c r="C520" s="3"/>
      <c r="D520" s="3"/>
      <c r="E520" s="3"/>
      <c r="F520" s="46"/>
      <c r="G520" s="3"/>
      <c r="H520" s="3"/>
      <c r="I520" s="3"/>
      <c r="J520" s="3"/>
      <c r="K520" s="3"/>
      <c r="L520" s="3"/>
      <c r="M520" s="3"/>
      <c r="N520" s="3"/>
      <c r="O520" s="4"/>
      <c r="P520" s="3"/>
      <c r="Q520" s="3"/>
      <c r="R520" s="3"/>
      <c r="S520" s="3"/>
      <c r="T520" s="3"/>
      <c r="U520" s="16"/>
      <c r="V520" s="3"/>
      <c r="X520" s="19">
        <v>0</v>
      </c>
    </row>
    <row r="521" spans="2:24" x14ac:dyDescent="0.3">
      <c r="B521" s="16"/>
      <c r="C521" s="3"/>
      <c r="D521" s="3"/>
      <c r="E521" s="3"/>
      <c r="F521" s="46"/>
      <c r="G521" s="3"/>
      <c r="H521" s="3"/>
      <c r="I521" s="3"/>
      <c r="J521" s="3"/>
      <c r="K521" s="3"/>
      <c r="L521" s="3"/>
      <c r="M521" s="3"/>
      <c r="N521" s="3"/>
      <c r="O521" s="4"/>
      <c r="P521" s="3"/>
      <c r="Q521" s="3"/>
      <c r="R521" s="3"/>
      <c r="S521" s="3"/>
      <c r="T521" s="3"/>
      <c r="U521" s="16"/>
      <c r="V521" s="3"/>
      <c r="X521" s="19">
        <v>0</v>
      </c>
    </row>
    <row r="522" spans="2:24" x14ac:dyDescent="0.3">
      <c r="B522" s="16"/>
      <c r="C522" s="3"/>
      <c r="D522" s="3"/>
      <c r="E522" s="3"/>
      <c r="F522" s="46"/>
      <c r="G522" s="3"/>
      <c r="H522" s="3"/>
      <c r="I522" s="3"/>
      <c r="J522" s="3"/>
      <c r="K522" s="3"/>
      <c r="L522" s="3"/>
      <c r="M522" s="3"/>
      <c r="N522" s="3"/>
      <c r="O522" s="4"/>
      <c r="P522" s="3"/>
      <c r="Q522" s="3"/>
      <c r="R522" s="3"/>
      <c r="S522" s="3"/>
      <c r="T522" s="3"/>
      <c r="U522" s="16"/>
      <c r="V522" s="3"/>
      <c r="X522" s="19">
        <v>0</v>
      </c>
    </row>
    <row r="523" spans="2:24" x14ac:dyDescent="0.3">
      <c r="B523" s="16"/>
      <c r="C523" s="3"/>
      <c r="D523" s="3"/>
      <c r="E523" s="3"/>
      <c r="F523" s="46"/>
      <c r="G523" s="3"/>
      <c r="H523" s="3"/>
      <c r="I523" s="3"/>
      <c r="J523" s="3"/>
      <c r="K523" s="3"/>
      <c r="L523" s="3"/>
      <c r="M523" s="3"/>
      <c r="N523" s="3"/>
      <c r="O523" s="4"/>
      <c r="P523" s="3"/>
      <c r="Q523" s="3"/>
      <c r="R523" s="3"/>
      <c r="S523" s="3"/>
      <c r="T523" s="3"/>
      <c r="U523" s="16"/>
      <c r="V523" s="3"/>
      <c r="X523" s="19">
        <v>0</v>
      </c>
    </row>
    <row r="524" spans="2:24" x14ac:dyDescent="0.3">
      <c r="B524" s="16"/>
      <c r="C524" s="3"/>
      <c r="D524" s="3"/>
      <c r="E524" s="3"/>
      <c r="F524" s="46"/>
      <c r="G524" s="3"/>
      <c r="H524" s="3"/>
      <c r="I524" s="3"/>
      <c r="J524" s="3"/>
      <c r="K524" s="3"/>
      <c r="L524" s="3"/>
      <c r="M524" s="3"/>
      <c r="N524" s="3"/>
      <c r="O524" s="4"/>
      <c r="P524" s="3"/>
      <c r="Q524" s="3"/>
      <c r="R524" s="3"/>
      <c r="S524" s="3"/>
      <c r="T524" s="3"/>
      <c r="U524" s="16"/>
      <c r="V524" s="3"/>
      <c r="X524" s="19">
        <v>0</v>
      </c>
    </row>
    <row r="525" spans="2:24" x14ac:dyDescent="0.3">
      <c r="B525" s="16"/>
      <c r="C525" s="3"/>
      <c r="D525" s="3"/>
      <c r="E525" s="3"/>
      <c r="F525" s="46"/>
      <c r="G525" s="3"/>
      <c r="H525" s="3"/>
      <c r="I525" s="3"/>
      <c r="J525" s="3"/>
      <c r="K525" s="3"/>
      <c r="L525" s="3"/>
      <c r="M525" s="3"/>
      <c r="N525" s="3"/>
      <c r="O525" s="4"/>
      <c r="P525" s="3"/>
      <c r="Q525" s="3"/>
      <c r="R525" s="3"/>
      <c r="S525" s="3"/>
      <c r="T525" s="3"/>
      <c r="U525" s="16"/>
      <c r="V525" s="3"/>
      <c r="X525" s="19">
        <v>0</v>
      </c>
    </row>
    <row r="526" spans="2:24" x14ac:dyDescent="0.3">
      <c r="B526" s="16"/>
      <c r="C526" s="3"/>
      <c r="D526" s="3"/>
      <c r="E526" s="3"/>
      <c r="F526" s="46"/>
      <c r="G526" s="3"/>
      <c r="H526" s="3"/>
      <c r="I526" s="3"/>
      <c r="J526" s="3"/>
      <c r="K526" s="3"/>
      <c r="L526" s="3"/>
      <c r="M526" s="3"/>
      <c r="N526" s="3"/>
      <c r="O526" s="4"/>
      <c r="P526" s="3"/>
      <c r="Q526" s="3"/>
      <c r="R526" s="3"/>
      <c r="S526" s="3"/>
      <c r="T526" s="3"/>
      <c r="U526" s="16"/>
      <c r="V526" s="3"/>
      <c r="X526" s="19">
        <v>0</v>
      </c>
    </row>
    <row r="527" spans="2:24" x14ac:dyDescent="0.3">
      <c r="B527" s="16"/>
      <c r="C527" s="3"/>
      <c r="D527" s="3"/>
      <c r="E527" s="3"/>
      <c r="F527" s="46"/>
      <c r="G527" s="3"/>
      <c r="H527" s="3"/>
      <c r="I527" s="3"/>
      <c r="J527" s="3"/>
      <c r="K527" s="3"/>
      <c r="L527" s="3"/>
      <c r="M527" s="3"/>
      <c r="N527" s="3"/>
      <c r="O527" s="4"/>
      <c r="P527" s="3"/>
      <c r="Q527" s="3"/>
      <c r="R527" s="3"/>
      <c r="S527" s="3"/>
      <c r="T527" s="3"/>
      <c r="U527" s="16"/>
      <c r="V527" s="3"/>
      <c r="X527" s="19">
        <v>0</v>
      </c>
    </row>
    <row r="528" spans="2:24" x14ac:dyDescent="0.3">
      <c r="B528" s="16"/>
      <c r="C528" s="3"/>
      <c r="D528" s="3"/>
      <c r="E528" s="3"/>
      <c r="F528" s="46"/>
      <c r="G528" s="3"/>
      <c r="H528" s="3"/>
      <c r="I528" s="3"/>
      <c r="J528" s="3"/>
      <c r="K528" s="3"/>
      <c r="L528" s="3"/>
      <c r="M528" s="3"/>
      <c r="N528" s="3"/>
      <c r="O528" s="4"/>
      <c r="P528" s="3"/>
      <c r="Q528" s="3"/>
      <c r="R528" s="3"/>
      <c r="S528" s="3"/>
      <c r="T528" s="3"/>
      <c r="U528" s="16"/>
      <c r="V528" s="3"/>
      <c r="X528" s="19">
        <v>0</v>
      </c>
    </row>
    <row r="529" spans="2:24" x14ac:dyDescent="0.3">
      <c r="B529" s="16"/>
      <c r="C529" s="3"/>
      <c r="D529" s="3"/>
      <c r="E529" s="3"/>
      <c r="F529" s="46"/>
      <c r="G529" s="3"/>
      <c r="H529" s="3"/>
      <c r="I529" s="3"/>
      <c r="J529" s="3"/>
      <c r="K529" s="3"/>
      <c r="L529" s="3"/>
      <c r="M529" s="3"/>
      <c r="N529" s="3"/>
      <c r="O529" s="4"/>
      <c r="P529" s="3"/>
      <c r="Q529" s="3"/>
      <c r="R529" s="3"/>
      <c r="S529" s="3"/>
      <c r="T529" s="3"/>
      <c r="U529" s="16"/>
      <c r="V529" s="3"/>
      <c r="X529" s="19">
        <v>0</v>
      </c>
    </row>
    <row r="530" spans="2:24" x14ac:dyDescent="0.3">
      <c r="B530" s="16"/>
      <c r="C530" s="3"/>
      <c r="D530" s="3"/>
      <c r="E530" s="3"/>
      <c r="F530" s="46"/>
      <c r="G530" s="3"/>
      <c r="H530" s="3"/>
      <c r="I530" s="3"/>
      <c r="J530" s="3"/>
      <c r="K530" s="3"/>
      <c r="L530" s="3"/>
      <c r="M530" s="3"/>
      <c r="N530" s="3"/>
      <c r="O530" s="4"/>
      <c r="P530" s="3"/>
      <c r="Q530" s="3"/>
      <c r="R530" s="3"/>
      <c r="S530" s="3"/>
      <c r="T530" s="3"/>
      <c r="U530" s="16"/>
      <c r="V530" s="3"/>
      <c r="X530" s="19">
        <v>0</v>
      </c>
    </row>
    <row r="430017" spans="3:3" x14ac:dyDescent="0.3">
      <c r="C430017" s="21"/>
    </row>
    <row r="739834" spans="3:3" x14ac:dyDescent="0.3">
      <c r="C739834" s="21"/>
    </row>
    <row r="864668" spans="3:3" x14ac:dyDescent="0.3">
      <c r="C864668" s="21"/>
    </row>
    <row r="1008686" spans="3:3" x14ac:dyDescent="0.3">
      <c r="C1008686" s="21"/>
    </row>
  </sheetData>
  <mergeCells count="45">
    <mergeCell ref="J28:L28"/>
    <mergeCell ref="C6:G6"/>
    <mergeCell ref="H6:J6"/>
    <mergeCell ref="C25:G25"/>
    <mergeCell ref="H25:J25"/>
    <mergeCell ref="C24:G24"/>
    <mergeCell ref="H24:J24"/>
    <mergeCell ref="H14:J14"/>
    <mergeCell ref="C15:G15"/>
    <mergeCell ref="H15:J15"/>
    <mergeCell ref="C16:G16"/>
    <mergeCell ref="H16:J16"/>
    <mergeCell ref="C20:G20"/>
    <mergeCell ref="H20:J20"/>
    <mergeCell ref="C14:G14"/>
    <mergeCell ref="C7:G7"/>
    <mergeCell ref="C19:G19"/>
    <mergeCell ref="H5:J5"/>
    <mergeCell ref="H9:J9"/>
    <mergeCell ref="H11:J11"/>
    <mergeCell ref="C26:G26"/>
    <mergeCell ref="H26:J26"/>
    <mergeCell ref="C5:G5"/>
    <mergeCell ref="C21:G21"/>
    <mergeCell ref="H21:J21"/>
    <mergeCell ref="C22:G22"/>
    <mergeCell ref="H22:J22"/>
    <mergeCell ref="C23:G23"/>
    <mergeCell ref="H23:J23"/>
    <mergeCell ref="C17:G17"/>
    <mergeCell ref="H17:J17"/>
    <mergeCell ref="C18:G18"/>
    <mergeCell ref="H18:J18"/>
    <mergeCell ref="H19:J19"/>
    <mergeCell ref="H7:J7"/>
    <mergeCell ref="H12:J12"/>
    <mergeCell ref="H8:J8"/>
    <mergeCell ref="H13:J13"/>
    <mergeCell ref="H10:J10"/>
    <mergeCell ref="C12:G12"/>
    <mergeCell ref="C8:G8"/>
    <mergeCell ref="C13:G13"/>
    <mergeCell ref="C9:G9"/>
    <mergeCell ref="C11:G11"/>
    <mergeCell ref="C10:G10"/>
  </mergeCells>
  <phoneticPr fontId="1" type="noConversion"/>
  <dataValidations count="3">
    <dataValidation type="list" allowBlank="1" showInputMessage="1" showErrorMessage="1" sqref="C31:C530">
      <formula1>"Redhat_8_64bit,Redhat_7_64bit,Redhat_6_64bit,Redhat_6_32bit,CentOS_8_64bit,CentOS_7_64bit,CentOS_6_64bit,CentOS_6_32bit"</formula1>
    </dataValidation>
    <dataValidation type="list" allowBlank="1" showInputMessage="1" showErrorMessage="1" sqref="D31:D530">
      <formula1>"9.4,9.5,9.6,10,11,12"</formula1>
    </dataValidation>
    <dataValidation type="list" allowBlank="1" showInputMessage="1" showErrorMessage="1" sqref="F28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34"/>
  <sheetViews>
    <sheetView zoomScale="70" zoomScaleNormal="70" workbookViewId="0"/>
  </sheetViews>
  <sheetFormatPr defaultRowHeight="16.5" x14ac:dyDescent="0.3"/>
  <cols>
    <col min="1" max="1" width="3.625" customWidth="1"/>
    <col min="2" max="2" width="12.625" bestFit="1" customWidth="1"/>
    <col min="3" max="4" width="9" customWidth="1"/>
    <col min="5" max="5" width="6.625" customWidth="1"/>
    <col min="6" max="6" width="3.75" customWidth="1"/>
    <col min="7" max="7" width="11.25" customWidth="1"/>
    <col min="8" max="9" width="9" customWidth="1"/>
    <col min="10" max="10" width="10.75" customWidth="1"/>
    <col min="11" max="11" width="3.625" customWidth="1"/>
    <col min="12" max="12" width="27.5" customWidth="1"/>
    <col min="13" max="13" width="133.625" customWidth="1"/>
    <col min="14" max="14" width="86" bestFit="1" customWidth="1"/>
  </cols>
  <sheetData>
    <row r="1" spans="2:14" ht="17.25" thickBot="1" x14ac:dyDescent="0.35"/>
    <row r="2" spans="2:14" ht="16.5" customHeight="1" x14ac:dyDescent="0.3">
      <c r="B2" s="88" t="s">
        <v>438</v>
      </c>
      <c r="C2" s="89"/>
      <c r="D2" s="89"/>
      <c r="E2" s="90"/>
      <c r="F2" s="39"/>
      <c r="G2" s="75" t="s">
        <v>439</v>
      </c>
      <c r="H2" s="76"/>
      <c r="I2" s="76"/>
      <c r="J2" s="77"/>
      <c r="K2" s="31"/>
      <c r="L2" s="75" t="s">
        <v>451</v>
      </c>
      <c r="M2" s="76"/>
      <c r="N2" s="77"/>
    </row>
    <row r="3" spans="2:14" ht="17.25" thickBot="1" x14ac:dyDescent="0.35">
      <c r="B3" s="91"/>
      <c r="C3" s="92"/>
      <c r="D3" s="92"/>
      <c r="E3" s="93"/>
      <c r="F3" s="40"/>
      <c r="G3" s="68"/>
      <c r="H3" s="69"/>
      <c r="I3" s="69"/>
      <c r="J3" s="70"/>
      <c r="K3" s="31"/>
      <c r="L3" s="68"/>
      <c r="M3" s="69"/>
      <c r="N3" s="70"/>
    </row>
    <row r="4" spans="2:14" ht="17.25" thickBot="1" x14ac:dyDescent="0.35">
      <c r="B4" s="94"/>
      <c r="C4" s="95"/>
      <c r="D4" s="95"/>
      <c r="E4" s="96"/>
      <c r="F4" s="48"/>
      <c r="G4" s="42" t="s">
        <v>2</v>
      </c>
      <c r="H4" s="85" t="s">
        <v>440</v>
      </c>
      <c r="I4" s="86"/>
      <c r="J4" s="87"/>
      <c r="K4" s="31"/>
    </row>
    <row r="5" spans="2:14" ht="17.25" thickBot="1" x14ac:dyDescent="0.35">
      <c r="B5" s="14"/>
      <c r="C5" s="14"/>
      <c r="D5" s="14"/>
      <c r="F5" s="48"/>
      <c r="G5" s="43" t="s">
        <v>41</v>
      </c>
      <c r="H5" s="53" t="s">
        <v>354</v>
      </c>
      <c r="I5" s="54"/>
      <c r="J5" s="55"/>
      <c r="K5" s="31"/>
      <c r="L5" s="2" t="s">
        <v>452</v>
      </c>
      <c r="M5" s="2" t="s">
        <v>453</v>
      </c>
      <c r="N5" s="2" t="s">
        <v>454</v>
      </c>
    </row>
    <row r="6" spans="2:14" ht="16.5" customHeight="1" x14ac:dyDescent="0.3">
      <c r="B6" s="112" t="s">
        <v>441</v>
      </c>
      <c r="C6" s="113"/>
      <c r="D6" s="113"/>
      <c r="E6" s="114"/>
      <c r="G6" s="43" t="s">
        <v>42</v>
      </c>
      <c r="H6" s="53" t="s">
        <v>442</v>
      </c>
      <c r="I6" s="54"/>
      <c r="J6" s="55"/>
      <c r="K6" s="31"/>
      <c r="L6" s="6" t="s">
        <v>13</v>
      </c>
      <c r="M6" s="9" t="s">
        <v>455</v>
      </c>
      <c r="N6" s="6" t="s">
        <v>3</v>
      </c>
    </row>
    <row r="7" spans="2:14" ht="17.25" thickBot="1" x14ac:dyDescent="0.35">
      <c r="B7" s="115"/>
      <c r="C7" s="116"/>
      <c r="D7" s="116"/>
      <c r="E7" s="117"/>
      <c r="G7" s="43" t="s">
        <v>0</v>
      </c>
      <c r="H7" s="53" t="s">
        <v>355</v>
      </c>
      <c r="I7" s="54"/>
      <c r="J7" s="55"/>
      <c r="K7" s="31"/>
      <c r="L7" s="6" t="s">
        <v>4</v>
      </c>
      <c r="M7" s="9" t="s">
        <v>456</v>
      </c>
      <c r="N7" s="6" t="s">
        <v>457</v>
      </c>
    </row>
    <row r="8" spans="2:14" x14ac:dyDescent="0.3">
      <c r="B8" s="49" t="s">
        <v>380</v>
      </c>
      <c r="C8" s="85" t="s">
        <v>443</v>
      </c>
      <c r="D8" s="86"/>
      <c r="E8" s="87"/>
      <c r="G8" s="43" t="s">
        <v>46</v>
      </c>
      <c r="H8" s="100" t="s">
        <v>440</v>
      </c>
      <c r="I8" s="101"/>
      <c r="J8" s="102"/>
      <c r="K8" s="31"/>
      <c r="L8" s="6" t="s">
        <v>14</v>
      </c>
      <c r="M8" s="9" t="s">
        <v>458</v>
      </c>
      <c r="N8" s="6" t="s">
        <v>459</v>
      </c>
    </row>
    <row r="9" spans="2:14" ht="17.25" thickBot="1" x14ac:dyDescent="0.35">
      <c r="B9" s="50" t="s">
        <v>381</v>
      </c>
      <c r="C9" s="68" t="s">
        <v>444</v>
      </c>
      <c r="D9" s="69"/>
      <c r="E9" s="70"/>
      <c r="F9" s="48"/>
      <c r="G9" s="44" t="s">
        <v>43</v>
      </c>
      <c r="H9" s="103" t="s">
        <v>440</v>
      </c>
      <c r="I9" s="104"/>
      <c r="J9" s="105"/>
      <c r="K9" s="31"/>
      <c r="L9" s="6" t="s">
        <v>15</v>
      </c>
      <c r="M9" s="9" t="s">
        <v>460</v>
      </c>
      <c r="N9" s="6" t="s">
        <v>461</v>
      </c>
    </row>
    <row r="10" spans="2:14" ht="17.25" thickBot="1" x14ac:dyDescent="0.35">
      <c r="F10" s="48"/>
      <c r="K10" s="31"/>
      <c r="L10" s="6" t="s">
        <v>16</v>
      </c>
      <c r="M10" s="9" t="s">
        <v>462</v>
      </c>
      <c r="N10" s="51" t="s">
        <v>463</v>
      </c>
    </row>
    <row r="11" spans="2:14" ht="16.5" customHeight="1" x14ac:dyDescent="0.3">
      <c r="B11" s="75" t="s">
        <v>445</v>
      </c>
      <c r="C11" s="106"/>
      <c r="D11" s="106"/>
      <c r="E11" s="106"/>
      <c r="F11" s="106"/>
      <c r="G11" s="106"/>
      <c r="H11" s="106"/>
      <c r="I11" s="106"/>
      <c r="J11" s="107"/>
      <c r="L11" s="6" t="s">
        <v>356</v>
      </c>
      <c r="M11" s="9" t="s">
        <v>464</v>
      </c>
      <c r="N11" s="6" t="s">
        <v>465</v>
      </c>
    </row>
    <row r="12" spans="2:14" ht="17.25" thickBot="1" x14ac:dyDescent="0.35">
      <c r="B12" s="108"/>
      <c r="C12" s="109"/>
      <c r="D12" s="109"/>
      <c r="E12" s="109"/>
      <c r="F12" s="109"/>
      <c r="G12" s="109"/>
      <c r="H12" s="109"/>
      <c r="I12" s="109"/>
      <c r="J12" s="110"/>
      <c r="L12" s="6" t="s">
        <v>17</v>
      </c>
      <c r="M12" s="9" t="s">
        <v>466</v>
      </c>
      <c r="N12" s="6" t="str">
        <f>"'pg_stat_statements'"</f>
        <v>'pg_stat_statements'</v>
      </c>
    </row>
    <row r="13" spans="2:14" ht="16.5" customHeight="1" x14ac:dyDescent="0.3">
      <c r="B13" s="97" t="s">
        <v>44</v>
      </c>
      <c r="C13" s="75" t="s">
        <v>446</v>
      </c>
      <c r="D13" s="76"/>
      <c r="E13" s="76"/>
      <c r="F13" s="76"/>
      <c r="G13" s="76"/>
      <c r="H13" s="76"/>
      <c r="I13" s="76"/>
      <c r="J13" s="77"/>
      <c r="K13" s="39"/>
      <c r="L13" s="6" t="s">
        <v>18</v>
      </c>
      <c r="M13" s="45" t="s">
        <v>467</v>
      </c>
      <c r="N13" s="6" t="s">
        <v>6</v>
      </c>
    </row>
    <row r="14" spans="2:14" ht="17.25" thickBot="1" x14ac:dyDescent="0.35">
      <c r="B14" s="97"/>
      <c r="C14" s="68" t="s">
        <v>447</v>
      </c>
      <c r="D14" s="69"/>
      <c r="E14" s="69"/>
      <c r="F14" s="69"/>
      <c r="G14" s="69"/>
      <c r="H14" s="69"/>
      <c r="I14" s="69"/>
      <c r="J14" s="70"/>
      <c r="K14" s="40"/>
      <c r="L14" s="6" t="s">
        <v>19</v>
      </c>
      <c r="M14" s="9" t="s">
        <v>468</v>
      </c>
      <c r="N14" s="6">
        <v>0.9</v>
      </c>
    </row>
    <row r="15" spans="2:14" ht="17.25" thickBot="1" x14ac:dyDescent="0.35">
      <c r="B15" s="98"/>
      <c r="C15" s="53" t="s">
        <v>448</v>
      </c>
      <c r="D15" s="54"/>
      <c r="E15" s="54"/>
      <c r="F15" s="54"/>
      <c r="G15" s="54"/>
      <c r="H15" s="54"/>
      <c r="I15" s="54"/>
      <c r="J15" s="55"/>
      <c r="K15" s="31"/>
      <c r="L15" s="6" t="s">
        <v>20</v>
      </c>
      <c r="M15" s="9" t="s">
        <v>469</v>
      </c>
      <c r="N15" s="6" t="s">
        <v>7</v>
      </c>
    </row>
    <row r="16" spans="2:14" ht="17.25" thickBot="1" x14ac:dyDescent="0.35">
      <c r="B16" s="99" t="s">
        <v>45</v>
      </c>
      <c r="C16" s="111" t="s">
        <v>449</v>
      </c>
      <c r="D16" s="66"/>
      <c r="E16" s="66"/>
      <c r="F16" s="66"/>
      <c r="G16" s="66"/>
      <c r="H16" s="66"/>
      <c r="I16" s="66"/>
      <c r="J16" s="67"/>
      <c r="K16" s="31"/>
      <c r="L16" s="6" t="s">
        <v>21</v>
      </c>
      <c r="M16" s="9" t="s">
        <v>470</v>
      </c>
      <c r="N16" s="6" t="str">
        <f>"Archive mode : 'cp %p ARCHIVE_PARTITION/%f',   No Archive mode : 'true'"</f>
        <v>Archive mode : 'cp %p ARCHIVE_PARTITION/%f',   No Archive mode : 'true'</v>
      </c>
    </row>
    <row r="17" spans="2:14" x14ac:dyDescent="0.3">
      <c r="B17" s="97"/>
      <c r="C17" s="74" t="s">
        <v>450</v>
      </c>
      <c r="D17" s="54"/>
      <c r="E17" s="54"/>
      <c r="F17" s="54"/>
      <c r="G17" s="54"/>
      <c r="H17" s="54"/>
      <c r="I17" s="54"/>
      <c r="J17" s="55"/>
      <c r="L17" s="6" t="s">
        <v>22</v>
      </c>
      <c r="M17" s="9" t="s">
        <v>471</v>
      </c>
      <c r="N17" s="6">
        <v>5</v>
      </c>
    </row>
    <row r="18" spans="2:14" ht="17.25" thickBot="1" x14ac:dyDescent="0.35">
      <c r="B18" s="98"/>
      <c r="C18" s="68" t="s">
        <v>382</v>
      </c>
      <c r="D18" s="69"/>
      <c r="E18" s="69"/>
      <c r="F18" s="69"/>
      <c r="G18" s="69"/>
      <c r="H18" s="69"/>
      <c r="I18" s="69"/>
      <c r="J18" s="70"/>
      <c r="L18" s="6" t="s">
        <v>23</v>
      </c>
      <c r="M18" s="9" t="s">
        <v>472</v>
      </c>
      <c r="N18" s="6">
        <v>2</v>
      </c>
    </row>
    <row r="19" spans="2:14" x14ac:dyDescent="0.3">
      <c r="L19" s="6" t="s">
        <v>24</v>
      </c>
      <c r="M19" s="9" t="s">
        <v>473</v>
      </c>
      <c r="N19" s="6" t="s">
        <v>474</v>
      </c>
    </row>
    <row r="20" spans="2:14" ht="16.5" customHeight="1" x14ac:dyDescent="0.3">
      <c r="K20" s="41"/>
      <c r="L20" s="6" t="s">
        <v>25</v>
      </c>
      <c r="M20" s="9" t="s">
        <v>475</v>
      </c>
      <c r="N20" s="6" t="str">
        <f>"'stderr'"</f>
        <v>'stderr'</v>
      </c>
    </row>
    <row r="21" spans="2:14" x14ac:dyDescent="0.3">
      <c r="K21" s="41"/>
      <c r="L21" s="6" t="s">
        <v>26</v>
      </c>
      <c r="M21" s="9" t="s">
        <v>476</v>
      </c>
      <c r="N21" s="6" t="s">
        <v>7</v>
      </c>
    </row>
    <row r="22" spans="2:14" x14ac:dyDescent="0.3">
      <c r="K22" s="31"/>
      <c r="L22" s="6" t="s">
        <v>27</v>
      </c>
      <c r="M22" s="9" t="s">
        <v>477</v>
      </c>
      <c r="N22" s="6" t="str">
        <f>"'$PGLOG'"</f>
        <v>'$PGLOG'</v>
      </c>
    </row>
    <row r="23" spans="2:14" x14ac:dyDescent="0.3">
      <c r="K23" s="31"/>
      <c r="L23" s="6" t="s">
        <v>28</v>
      </c>
      <c r="M23" s="9" t="s">
        <v>478</v>
      </c>
      <c r="N23" s="6" t="s">
        <v>8</v>
      </c>
    </row>
    <row r="24" spans="2:14" x14ac:dyDescent="0.3">
      <c r="K24" s="31"/>
      <c r="L24" s="6" t="s">
        <v>29</v>
      </c>
      <c r="M24" s="9" t="s">
        <v>479</v>
      </c>
      <c r="N24" s="6" t="s">
        <v>9</v>
      </c>
    </row>
    <row r="25" spans="2:14" x14ac:dyDescent="0.3">
      <c r="K25" s="31"/>
      <c r="L25" s="6" t="s">
        <v>5</v>
      </c>
      <c r="M25" s="9" t="s">
        <v>480</v>
      </c>
      <c r="N25" s="6" t="s">
        <v>10</v>
      </c>
    </row>
    <row r="26" spans="2:14" x14ac:dyDescent="0.3">
      <c r="K26" s="31"/>
      <c r="L26" s="6" t="s">
        <v>30</v>
      </c>
      <c r="M26" s="9" t="s">
        <v>481</v>
      </c>
      <c r="N26" s="6" t="s">
        <v>7</v>
      </c>
    </row>
    <row r="27" spans="2:14" x14ac:dyDescent="0.3">
      <c r="K27" s="31"/>
      <c r="L27" s="6" t="s">
        <v>31</v>
      </c>
      <c r="M27" s="9" t="s">
        <v>482</v>
      </c>
      <c r="N27" s="6" t="s">
        <v>11</v>
      </c>
    </row>
    <row r="28" spans="2:14" x14ac:dyDescent="0.3">
      <c r="L28" s="6" t="s">
        <v>32</v>
      </c>
      <c r="M28" s="9" t="str">
        <f>"Specifies the size of the ""query"" column of the pg_stat_activity view for session monitoring"</f>
        <v>Specifies the size of the "query" column of the pg_stat_activity view for session monitoring</v>
      </c>
      <c r="N28" s="6">
        <v>65536</v>
      </c>
    </row>
    <row r="29" spans="2:14" x14ac:dyDescent="0.3">
      <c r="L29" s="6" t="s">
        <v>33</v>
      </c>
      <c r="M29" s="9" t="s">
        <v>483</v>
      </c>
      <c r="N29" s="6">
        <v>10000</v>
      </c>
    </row>
    <row r="30" spans="2:14" x14ac:dyDescent="0.3">
      <c r="L30" s="6" t="s">
        <v>34</v>
      </c>
      <c r="M30" s="9" t="s">
        <v>484</v>
      </c>
      <c r="N30" s="6" t="s">
        <v>12</v>
      </c>
    </row>
    <row r="31" spans="2:14" x14ac:dyDescent="0.3">
      <c r="L31" s="7" t="s">
        <v>35</v>
      </c>
      <c r="M31" s="10" t="s">
        <v>485</v>
      </c>
      <c r="N31" s="10" t="s">
        <v>39</v>
      </c>
    </row>
    <row r="32" spans="2:14" x14ac:dyDescent="0.3">
      <c r="L32" s="7" t="s">
        <v>37</v>
      </c>
      <c r="M32" s="10" t="s">
        <v>486</v>
      </c>
      <c r="N32" s="10" t="s">
        <v>487</v>
      </c>
    </row>
    <row r="33" spans="12:14" x14ac:dyDescent="0.3">
      <c r="L33" s="7" t="s">
        <v>38</v>
      </c>
      <c r="M33" s="10" t="s">
        <v>488</v>
      </c>
      <c r="N33" s="10" t="s">
        <v>487</v>
      </c>
    </row>
    <row r="34" spans="12:14" ht="17.25" thickBot="1" x14ac:dyDescent="0.35">
      <c r="L34" s="8" t="s">
        <v>36</v>
      </c>
      <c r="M34" s="52" t="s">
        <v>489</v>
      </c>
      <c r="N34" s="11" t="s">
        <v>40</v>
      </c>
    </row>
  </sheetData>
  <mergeCells count="21">
    <mergeCell ref="B13:B15"/>
    <mergeCell ref="B16:B18"/>
    <mergeCell ref="H8:J8"/>
    <mergeCell ref="H5:J5"/>
    <mergeCell ref="H6:J6"/>
    <mergeCell ref="H7:J7"/>
    <mergeCell ref="H9:J9"/>
    <mergeCell ref="C13:J13"/>
    <mergeCell ref="B11:J12"/>
    <mergeCell ref="C16:J16"/>
    <mergeCell ref="C17:J17"/>
    <mergeCell ref="C18:J18"/>
    <mergeCell ref="C15:J15"/>
    <mergeCell ref="C14:J14"/>
    <mergeCell ref="B6:E7"/>
    <mergeCell ref="L2:N3"/>
    <mergeCell ref="H4:J4"/>
    <mergeCell ref="C8:E8"/>
    <mergeCell ref="C9:E9"/>
    <mergeCell ref="G2:J3"/>
    <mergeCell ref="B2:E4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J196"/>
  <sheetViews>
    <sheetView workbookViewId="0"/>
  </sheetViews>
  <sheetFormatPr defaultRowHeight="16.5" x14ac:dyDescent="0.3"/>
  <cols>
    <col min="2" max="2" width="76.25" bestFit="1" customWidth="1"/>
    <col min="3" max="3" width="8.875" customWidth="1"/>
    <col min="4" max="4" width="25.25" bestFit="1" customWidth="1"/>
    <col min="5" max="5" width="4.625" style="20" customWidth="1"/>
    <col min="6" max="6" width="9.625" customWidth="1"/>
    <col min="9" max="9" width="41.25" bestFit="1" customWidth="1"/>
    <col min="10" max="10" width="137" bestFit="1" customWidth="1"/>
    <col min="11" max="11" width="81" bestFit="1" customWidth="1"/>
  </cols>
  <sheetData>
    <row r="2" spans="2:10" x14ac:dyDescent="0.3">
      <c r="B2" t="str">
        <f>IF(C2&lt;&gt;"","https://download.postgresql.org",[2]Main!$J$28)&amp;IF(C2="",IF(E2&lt;&gt;"8","/"&amp;E2&amp;"/os/"&amp;IF(OR(E2="8",E2="7"),"x86_64",IF(F2="noarch","x86_64",IF(E2&lt;&gt;"6",F2,IF(F2="i686","i386",F2))))&amp;"/Packages/","/"&amp;E2&amp;"/"&amp;IF(OR(AND(E2="8",LEFT(D2,6)="python"),AND(E2="8",LEFT(D2,17)="redhat-rpm-config")),"AppStream","BaseOS")&amp;"/"&amp;IF(OR(E2="8",E2="7"),"x86_64",IF(F2="noarch","x86_64",IF(E2&lt;&gt;"6",F2,IF(F2="i686","i386",F2))))&amp;"/os/Packages/"),"/pub/repos/yum/"&amp;C2&amp;"/redhat/rhel-"&amp;E2&amp;IF(E2&lt;&gt;"8","Server","")&amp;"-"&amp;IF(E2&lt;&gt;"6",F2,IF(F2="i686","i386",F2))&amp;"/")</f>
        <v>http://mirror.kakao.com/centos/6/os/i386/Packages/</v>
      </c>
      <c r="C2" s="20" t="str">
        <f t="shared" ref="C2:C33" si="0">IF(IF(LEFT(D2,10)="postgresql",RIGHT(LEFT(D2,12),2),"")&gt;"90",IF(LEFT(D2,10)="postgresql",RIGHT(LEFT(D2,12),2),"")/10,IF(LEFT(D2,10)="postgresql",RIGHT(LEFT(D2,12),2),""))</f>
        <v/>
      </c>
      <c r="D2" t="s">
        <v>67</v>
      </c>
      <c r="E2" s="20" t="s">
        <v>68</v>
      </c>
      <c r="F2" t="s">
        <v>69</v>
      </c>
      <c r="G2">
        <f t="shared" ref="G2:G33" si="1">IF(B2=B3,1,0)</f>
        <v>1</v>
      </c>
      <c r="I2" t="str">
        <f t="shared" ref="I2:I33" si="2">D2&amp;"*"&amp;IF(C2&lt;&gt;"","rhel","el")&amp;E2&amp;"*"&amp;F2&amp;".rpm"</f>
        <v>libicu*el6*i686.rpm</v>
      </c>
      <c r="J2" t="s">
        <v>268</v>
      </c>
    </row>
    <row r="3" spans="2:10" x14ac:dyDescent="0.3">
      <c r="B3" t="str">
        <f>IF(C3&lt;&gt;"","https://download.postgresql.org",[2]Main!$J$28)&amp;IF(C3="",IF(E3&lt;&gt;"8","/"&amp;E3&amp;"/os/"&amp;IF(OR(E3="8",E3="7"),"x86_64",IF(F3="noarch","x86_64",IF(E3&lt;&gt;"6",F3,IF(F3="i686","i386",F3))))&amp;"/Packages/","/"&amp;E3&amp;"/"&amp;IF(OR(AND(E3="8",LEFT(D3,6)="python"),AND(E3="8",LEFT(D3,17)="redhat-rpm-config")),"AppStream","BaseOS")&amp;"/"&amp;IF(OR(E3="8",E3="7"),"x86_64",IF(F3="noarch","x86_64",IF(E3&lt;&gt;"6",F3,IF(F3="i686","i386",F3))))&amp;"/os/Packages/"),"/pub/repos/yum/"&amp;C3&amp;"/redhat/rhel-"&amp;E3&amp;IF(E3&lt;&gt;"8","Server","")&amp;"-"&amp;IF(E3&lt;&gt;"6",F3,IF(F3="i686","i386",F3))&amp;"/")</f>
        <v>http://mirror.kakao.com/centos/6/os/i386/Packages/</v>
      </c>
      <c r="C3" s="20" t="str">
        <f t="shared" si="0"/>
        <v/>
      </c>
      <c r="D3" t="s">
        <v>70</v>
      </c>
      <c r="E3" s="20" t="s">
        <v>68</v>
      </c>
      <c r="F3" t="s">
        <v>69</v>
      </c>
      <c r="G3">
        <f t="shared" si="1"/>
        <v>1</v>
      </c>
      <c r="I3" t="str">
        <f t="shared" si="2"/>
        <v>libxslt*el6*i686.rpm</v>
      </c>
      <c r="J3" t="s">
        <v>269</v>
      </c>
    </row>
    <row r="4" spans="2:10" x14ac:dyDescent="0.3">
      <c r="B4" t="str">
        <f>IF(C4&lt;&gt;"","https://download.postgresql.org",[2]Main!$J$28)&amp;IF(C4="",IF(E4&lt;&gt;"8","/"&amp;E4&amp;"/os/"&amp;IF(OR(E4="8",E4="7"),"x86_64",IF(F4="noarch","x86_64",IF(E4&lt;&gt;"6",F4,IF(F4="i686","i386",F4))))&amp;"/Packages/","/"&amp;E4&amp;"/"&amp;IF(OR(AND(E4="8",LEFT(D4,6)="python"),AND(E4="8",LEFT(D4,17)="redhat-rpm-config")),"AppStream","BaseOS")&amp;"/"&amp;IF(OR(E4="8",E4="7"),"x86_64",IF(F4="noarch","x86_64",IF(E4&lt;&gt;"6",F4,IF(F4="i686","i386",F4))))&amp;"/os/Packages/"),"/pub/repos/yum/"&amp;C4&amp;"/redhat/rhel-"&amp;E4&amp;IF(E4&lt;&gt;"8","Server","")&amp;"-"&amp;IF(E4&lt;&gt;"6",F4,IF(F4="i686","i386",F4))&amp;"/")</f>
        <v>http://mirror.kakao.com/centos/6/os/i386/Packages/</v>
      </c>
      <c r="C4" s="20" t="str">
        <f t="shared" si="0"/>
        <v/>
      </c>
      <c r="D4" t="s">
        <v>71</v>
      </c>
      <c r="E4" s="20" t="s">
        <v>68</v>
      </c>
      <c r="F4" t="s">
        <v>69</v>
      </c>
      <c r="G4">
        <f t="shared" si="1"/>
        <v>1</v>
      </c>
      <c r="I4" t="str">
        <f t="shared" si="2"/>
        <v>perl*el6*i686.rpm</v>
      </c>
      <c r="J4" t="s">
        <v>270</v>
      </c>
    </row>
    <row r="5" spans="2:10" x14ac:dyDescent="0.3">
      <c r="B5" t="str">
        <f>IF(C5&lt;&gt;"","https://download.postgresql.org",[2]Main!$J$28)&amp;IF(C5="",IF(E5&lt;&gt;"8","/"&amp;E5&amp;"/os/"&amp;IF(OR(E5="8",E5="7"),"x86_64",IF(F5="noarch","x86_64",IF(E5&lt;&gt;"6",F5,IF(F5="i686","i386",F5))))&amp;"/Packages/","/"&amp;E5&amp;"/"&amp;IF(OR(AND(E5="8",LEFT(D5,6)="python"),AND(E5="8",LEFT(D5,17)="redhat-rpm-config")),"AppStream","BaseOS")&amp;"/"&amp;IF(OR(E5="8",E5="7"),"x86_64",IF(F5="noarch","x86_64",IF(E5&lt;&gt;"6",F5,IF(F5="i686","i386",F5))))&amp;"/os/Packages/"),"/pub/repos/yum/"&amp;C5&amp;"/redhat/rhel-"&amp;E5&amp;IF(E5&lt;&gt;"8","Server","")&amp;"-"&amp;IF(E5&lt;&gt;"6",F5,IF(F5="i686","i386",F5))&amp;"/")</f>
        <v>http://mirror.kakao.com/centos/6/os/i386/Packages/</v>
      </c>
      <c r="C5" s="20" t="str">
        <f t="shared" si="0"/>
        <v/>
      </c>
      <c r="D5" t="s">
        <v>72</v>
      </c>
      <c r="E5" s="20" t="s">
        <v>68</v>
      </c>
      <c r="F5" t="s">
        <v>69</v>
      </c>
      <c r="G5">
        <f t="shared" si="1"/>
        <v>1</v>
      </c>
      <c r="I5" t="str">
        <f t="shared" si="2"/>
        <v>perl-libs*el6*i686.rpm</v>
      </c>
      <c r="J5" t="s">
        <v>140</v>
      </c>
    </row>
    <row r="6" spans="2:10" x14ac:dyDescent="0.3">
      <c r="B6" t="str">
        <f>IF(C6&lt;&gt;"","https://download.postgresql.org",[2]Main!$J$28)&amp;IF(C6="",IF(E6&lt;&gt;"8","/"&amp;E6&amp;"/os/"&amp;IF(OR(E6="8",E6="7"),"x86_64",IF(F6="noarch","x86_64",IF(E6&lt;&gt;"6",F6,IF(F6="i686","i386",F6))))&amp;"/Packages/","/"&amp;E6&amp;"/"&amp;IF(OR(AND(E6="8",LEFT(D6,6)="python"),AND(E6="8",LEFT(D6,17)="redhat-rpm-config")),"AppStream","BaseOS")&amp;"/"&amp;IF(OR(E6="8",E6="7"),"x86_64",IF(F6="noarch","x86_64",IF(E6&lt;&gt;"6",F6,IF(F6="i686","i386",F6))))&amp;"/os/Packages/"),"/pub/repos/yum/"&amp;C6&amp;"/redhat/rhel-"&amp;E6&amp;IF(E6&lt;&gt;"8","Server","")&amp;"-"&amp;IF(E6&lt;&gt;"6",F6,IF(F6="i686","i386",F6))&amp;"/")</f>
        <v>http://mirror.kakao.com/centos/6/os/i386/Packages/</v>
      </c>
      <c r="C6" s="20" t="str">
        <f t="shared" si="0"/>
        <v/>
      </c>
      <c r="D6" t="s">
        <v>73</v>
      </c>
      <c r="E6" s="20" t="s">
        <v>68</v>
      </c>
      <c r="F6" t="s">
        <v>69</v>
      </c>
      <c r="G6">
        <f t="shared" si="1"/>
        <v>1</v>
      </c>
      <c r="I6" t="str">
        <f t="shared" si="2"/>
        <v>perl-Module-Pluggable*el6*i686.rpm</v>
      </c>
      <c r="J6" t="s">
        <v>141</v>
      </c>
    </row>
    <row r="7" spans="2:10" x14ac:dyDescent="0.3">
      <c r="B7" t="str">
        <f>IF(C7&lt;&gt;"","https://download.postgresql.org",[2]Main!$J$28)&amp;IF(C7="",IF(E7&lt;&gt;"8","/"&amp;E7&amp;"/os/"&amp;IF(OR(E7="8",E7="7"),"x86_64",IF(F7="noarch","x86_64",IF(E7&lt;&gt;"6",F7,IF(F7="i686","i386",F7))))&amp;"/Packages/","/"&amp;E7&amp;"/"&amp;IF(OR(AND(E7="8",LEFT(D7,6)="python"),AND(E7="8",LEFT(D7,17)="redhat-rpm-config")),"AppStream","BaseOS")&amp;"/"&amp;IF(OR(E7="8",E7="7"),"x86_64",IF(F7="noarch","x86_64",IF(E7&lt;&gt;"6",F7,IF(F7="i686","i386",F7))))&amp;"/os/Packages/"),"/pub/repos/yum/"&amp;C7&amp;"/redhat/rhel-"&amp;E7&amp;IF(E7&lt;&gt;"8","Server","")&amp;"-"&amp;IF(E7&lt;&gt;"6",F7,IF(F7="i686","i386",F7))&amp;"/")</f>
        <v>http://mirror.kakao.com/centos/6/os/i386/Packages/</v>
      </c>
      <c r="C7" s="20" t="str">
        <f t="shared" si="0"/>
        <v/>
      </c>
      <c r="D7" t="s">
        <v>74</v>
      </c>
      <c r="E7" s="20" t="s">
        <v>68</v>
      </c>
      <c r="F7" t="s">
        <v>69</v>
      </c>
      <c r="G7">
        <f t="shared" si="1"/>
        <v>1</v>
      </c>
      <c r="I7" t="str">
        <f t="shared" si="2"/>
        <v>perl-Pod-Escapes*el6*i686.rpm</v>
      </c>
      <c r="J7" t="s">
        <v>142</v>
      </c>
    </row>
    <row r="8" spans="2:10" x14ac:dyDescent="0.3">
      <c r="B8" t="str">
        <f>IF(C8&lt;&gt;"","https://download.postgresql.org",[2]Main!$J$28)&amp;IF(C8="",IF(E8&lt;&gt;"8","/"&amp;E8&amp;"/os/"&amp;IF(OR(E8="8",E8="7"),"x86_64",IF(F8="noarch","x86_64",IF(E8&lt;&gt;"6",F8,IF(F8="i686","i386",F8))))&amp;"/Packages/","/"&amp;E8&amp;"/"&amp;IF(OR(AND(E8="8",LEFT(D8,6)="python"),AND(E8="8",LEFT(D8,17)="redhat-rpm-config")),"AppStream","BaseOS")&amp;"/"&amp;IF(OR(E8="8",E8="7"),"x86_64",IF(F8="noarch","x86_64",IF(E8&lt;&gt;"6",F8,IF(F8="i686","i386",F8))))&amp;"/os/Packages/"),"/pub/repos/yum/"&amp;C8&amp;"/redhat/rhel-"&amp;E8&amp;IF(E8&lt;&gt;"8","Server","")&amp;"-"&amp;IF(E8&lt;&gt;"6",F8,IF(F8="i686","i386",F8))&amp;"/")</f>
        <v>http://mirror.kakao.com/centos/6/os/i386/Packages/</v>
      </c>
      <c r="C8" s="20" t="str">
        <f t="shared" si="0"/>
        <v/>
      </c>
      <c r="D8" t="s">
        <v>75</v>
      </c>
      <c r="E8" s="20" t="s">
        <v>68</v>
      </c>
      <c r="F8" t="s">
        <v>69</v>
      </c>
      <c r="G8">
        <f t="shared" si="1"/>
        <v>1</v>
      </c>
      <c r="I8" t="str">
        <f t="shared" si="2"/>
        <v>perl-Pod-Simple*el6*i686.rpm</v>
      </c>
      <c r="J8" t="s">
        <v>143</v>
      </c>
    </row>
    <row r="9" spans="2:10" x14ac:dyDescent="0.3">
      <c r="B9" t="str">
        <f>IF(C9&lt;&gt;"","https://download.postgresql.org",[2]Main!$J$28)&amp;IF(C9="",IF(E9&lt;&gt;"8","/"&amp;E9&amp;"/os/"&amp;IF(OR(E9="8",E9="7"),"x86_64",IF(F9="noarch","x86_64",IF(E9&lt;&gt;"6",F9,IF(F9="i686","i386",F9))))&amp;"/Packages/","/"&amp;E9&amp;"/"&amp;IF(OR(AND(E9="8",LEFT(D9,6)="python"),AND(E9="8",LEFT(D9,17)="redhat-rpm-config")),"AppStream","BaseOS")&amp;"/"&amp;IF(OR(E9="8",E9="7"),"x86_64",IF(F9="noarch","x86_64",IF(E9&lt;&gt;"6",F9,IF(F9="i686","i386",F9))))&amp;"/os/Packages/"),"/pub/repos/yum/"&amp;C9&amp;"/redhat/rhel-"&amp;E9&amp;IF(E9&lt;&gt;"8","Server","")&amp;"-"&amp;IF(E9&lt;&gt;"6",F9,IF(F9="i686","i386",F9))&amp;"/")</f>
        <v>http://mirror.kakao.com/centos/6/os/i386/Packages/</v>
      </c>
      <c r="C9" s="20" t="str">
        <f t="shared" si="0"/>
        <v/>
      </c>
      <c r="D9" t="s">
        <v>76</v>
      </c>
      <c r="E9" s="20" t="s">
        <v>68</v>
      </c>
      <c r="F9" t="s">
        <v>69</v>
      </c>
      <c r="G9">
        <f t="shared" si="1"/>
        <v>0</v>
      </c>
      <c r="I9" t="str">
        <f t="shared" si="2"/>
        <v>perl-version*el6*i686.rpm</v>
      </c>
      <c r="J9" t="s">
        <v>144</v>
      </c>
    </row>
    <row r="10" spans="2:10" x14ac:dyDescent="0.3">
      <c r="B10" t="str">
        <f>IF(C10&lt;&gt;"","https://download.postgresql.org",[2]Main!$J$28)&amp;IF(C10="",IF(E10&lt;&gt;"8","/"&amp;E10&amp;"/os/"&amp;IF(OR(E10="8",E10="7"),"x86_64",IF(F10="noarch","x86_64",IF(E10&lt;&gt;"6",F10,IF(F10="i686","i386",F10))))&amp;"/Packages/","/"&amp;E10&amp;"/"&amp;IF(OR(AND(E10="8",LEFT(D10,6)="python"),AND(E10="8",LEFT(D10,17)="redhat-rpm-config")),"AppStream","BaseOS")&amp;"/"&amp;IF(OR(E10="8",E10="7"),"x86_64",IF(F10="noarch","x86_64",IF(E10&lt;&gt;"6",F10,IF(F10="i686","i386",F10))))&amp;"/os/Packages/"),"/pub/repos/yum/"&amp;C10&amp;"/redhat/rhel-"&amp;E10&amp;IF(E10&lt;&gt;"8","Server","")&amp;"-"&amp;IF(E10&lt;&gt;"6",F10,IF(F10="i686","i386",F10))&amp;"/")</f>
        <v>https://download.postgresql.org/pub/repos/yum/10/redhat/rhel-6Server-i386/</v>
      </c>
      <c r="C10" s="20" t="str">
        <f t="shared" si="0"/>
        <v>10</v>
      </c>
      <c r="D10" t="s">
        <v>77</v>
      </c>
      <c r="E10" s="20" t="s">
        <v>68</v>
      </c>
      <c r="F10" t="s">
        <v>69</v>
      </c>
      <c r="G10">
        <f t="shared" si="1"/>
        <v>1</v>
      </c>
      <c r="I10" t="str">
        <f t="shared" si="2"/>
        <v>postgresql10*rhel6*i686.rpm</v>
      </c>
      <c r="J10" t="s">
        <v>250</v>
      </c>
    </row>
    <row r="11" spans="2:10" x14ac:dyDescent="0.3">
      <c r="B11" t="str">
        <f>IF(C11&lt;&gt;"","https://download.postgresql.org",[2]Main!$J$28)&amp;IF(C11="",IF(E11&lt;&gt;"8","/"&amp;E11&amp;"/os/"&amp;IF(OR(E11="8",E11="7"),"x86_64",IF(F11="noarch","x86_64",IF(E11&lt;&gt;"6",F11,IF(F11="i686","i386",F11))))&amp;"/Packages/","/"&amp;E11&amp;"/"&amp;IF(OR(AND(E11="8",LEFT(D11,6)="python"),AND(E11="8",LEFT(D11,17)="redhat-rpm-config")),"AppStream","BaseOS")&amp;"/"&amp;IF(OR(E11="8",E11="7"),"x86_64",IF(F11="noarch","x86_64",IF(E11&lt;&gt;"6",F11,IF(F11="i686","i386",F11))))&amp;"/os/Packages/"),"/pub/repos/yum/"&amp;C11&amp;"/redhat/rhel-"&amp;E11&amp;IF(E11&lt;&gt;"8","Server","")&amp;"-"&amp;IF(E11&lt;&gt;"6",F11,IF(F11="i686","i386",F11))&amp;"/")</f>
        <v>https://download.postgresql.org/pub/repos/yum/10/redhat/rhel-6Server-i386/</v>
      </c>
      <c r="C11" s="20" t="str">
        <f t="shared" si="0"/>
        <v>10</v>
      </c>
      <c r="D11" t="s">
        <v>78</v>
      </c>
      <c r="E11" s="20" t="s">
        <v>68</v>
      </c>
      <c r="F11" t="s">
        <v>69</v>
      </c>
      <c r="G11">
        <f t="shared" si="1"/>
        <v>1</v>
      </c>
      <c r="I11" t="str">
        <f t="shared" si="2"/>
        <v>postgresql10-contrib*rhel6*i686.rpm</v>
      </c>
      <c r="J11" t="s">
        <v>145</v>
      </c>
    </row>
    <row r="12" spans="2:10" x14ac:dyDescent="0.3">
      <c r="B12" t="str">
        <f>IF(C12&lt;&gt;"","https://download.postgresql.org",[2]Main!$J$28)&amp;IF(C12="",IF(E12&lt;&gt;"8","/"&amp;E12&amp;"/os/"&amp;IF(OR(E12="8",E12="7"),"x86_64",IF(F12="noarch","x86_64",IF(E12&lt;&gt;"6",F12,IF(F12="i686","i386",F12))))&amp;"/Packages/","/"&amp;E12&amp;"/"&amp;IF(OR(AND(E12="8",LEFT(D12,6)="python"),AND(E12="8",LEFT(D12,17)="redhat-rpm-config")),"AppStream","BaseOS")&amp;"/"&amp;IF(OR(E12="8",E12="7"),"x86_64",IF(F12="noarch","x86_64",IF(E12&lt;&gt;"6",F12,IF(F12="i686","i386",F12))))&amp;"/os/Packages/"),"/pub/repos/yum/"&amp;C12&amp;"/redhat/rhel-"&amp;E12&amp;IF(E12&lt;&gt;"8","Server","")&amp;"-"&amp;IF(E12&lt;&gt;"6",F12,IF(F12="i686","i386",F12))&amp;"/")</f>
        <v>https://download.postgresql.org/pub/repos/yum/10/redhat/rhel-6Server-i386/</v>
      </c>
      <c r="C12" s="20" t="str">
        <f t="shared" si="0"/>
        <v>10</v>
      </c>
      <c r="D12" t="s">
        <v>79</v>
      </c>
      <c r="E12" s="20" t="s">
        <v>68</v>
      </c>
      <c r="F12" t="s">
        <v>69</v>
      </c>
      <c r="G12">
        <f t="shared" si="1"/>
        <v>1</v>
      </c>
      <c r="I12" t="str">
        <f t="shared" si="2"/>
        <v>postgresql10-libs*rhel6*i686.rpm</v>
      </c>
      <c r="J12" t="s">
        <v>146</v>
      </c>
    </row>
    <row r="13" spans="2:10" x14ac:dyDescent="0.3">
      <c r="B13" t="str">
        <f>IF(C13&lt;&gt;"","https://download.postgresql.org",[2]Main!$J$28)&amp;IF(C13="",IF(E13&lt;&gt;"8","/"&amp;E13&amp;"/os/"&amp;IF(OR(E13="8",E13="7"),"x86_64",IF(F13="noarch","x86_64",IF(E13&lt;&gt;"6",F13,IF(F13="i686","i386",F13))))&amp;"/Packages/","/"&amp;E13&amp;"/"&amp;IF(OR(AND(E13="8",LEFT(D13,6)="python"),AND(E13="8",LEFT(D13,17)="redhat-rpm-config")),"AppStream","BaseOS")&amp;"/"&amp;IF(OR(E13="8",E13="7"),"x86_64",IF(F13="noarch","x86_64",IF(E13&lt;&gt;"6",F13,IF(F13="i686","i386",F13))))&amp;"/os/Packages/"),"/pub/repos/yum/"&amp;C13&amp;"/redhat/rhel-"&amp;E13&amp;IF(E13&lt;&gt;"8","Server","")&amp;"-"&amp;IF(E13&lt;&gt;"6",F13,IF(F13="i686","i386",F13))&amp;"/")</f>
        <v>https://download.postgresql.org/pub/repos/yum/10/redhat/rhel-6Server-i386/</v>
      </c>
      <c r="C13" s="20" t="str">
        <f t="shared" si="0"/>
        <v>10</v>
      </c>
      <c r="D13" t="s">
        <v>80</v>
      </c>
      <c r="E13" s="20" t="s">
        <v>68</v>
      </c>
      <c r="F13" t="s">
        <v>69</v>
      </c>
      <c r="G13">
        <f t="shared" si="1"/>
        <v>0</v>
      </c>
      <c r="I13" t="str">
        <f t="shared" si="2"/>
        <v>postgresql10-server*rhel6*i686.rpm</v>
      </c>
      <c r="J13" t="s">
        <v>147</v>
      </c>
    </row>
    <row r="14" spans="2:10" x14ac:dyDescent="0.3">
      <c r="B14" t="str">
        <f>IF(C14&lt;&gt;"","https://download.postgresql.org",[2]Main!$J$28)&amp;IF(C14="",IF(E14&lt;&gt;"8","/"&amp;E14&amp;"/os/"&amp;IF(OR(E14="8",E14="7"),"x86_64",IF(F14="noarch","x86_64",IF(E14&lt;&gt;"6",F14,IF(F14="i686","i386",F14))))&amp;"/Packages/","/"&amp;E14&amp;"/"&amp;IF(OR(AND(E14="8",LEFT(D14,6)="python"),AND(E14="8",LEFT(D14,17)="redhat-rpm-config")),"AppStream","BaseOS")&amp;"/"&amp;IF(OR(E14="8",E14="7"),"x86_64",IF(F14="noarch","x86_64",IF(E14&lt;&gt;"6",F14,IF(F14="i686","i386",F14))))&amp;"/os/Packages/"),"/pub/repos/yum/"&amp;C14&amp;"/redhat/rhel-"&amp;E14&amp;IF(E14&lt;&gt;"8","Server","")&amp;"-"&amp;IF(E14&lt;&gt;"6",F14,IF(F14="i686","i386",F14))&amp;"/")</f>
        <v>https://download.postgresql.org/pub/repos/yum/11/redhat/rhel-6Server-i386/</v>
      </c>
      <c r="C14" s="20" t="str">
        <f t="shared" si="0"/>
        <v>11</v>
      </c>
      <c r="D14" t="s">
        <v>81</v>
      </c>
      <c r="E14" s="20" t="s">
        <v>68</v>
      </c>
      <c r="F14" t="s">
        <v>69</v>
      </c>
      <c r="G14">
        <f t="shared" si="1"/>
        <v>1</v>
      </c>
      <c r="I14" t="str">
        <f t="shared" si="2"/>
        <v>postgresql11*rhel6*i686.rpm</v>
      </c>
      <c r="J14" t="s">
        <v>251</v>
      </c>
    </row>
    <row r="15" spans="2:10" x14ac:dyDescent="0.3">
      <c r="B15" t="str">
        <f>IF(C15&lt;&gt;"","https://download.postgresql.org",[2]Main!$J$28)&amp;IF(C15="",IF(E15&lt;&gt;"8","/"&amp;E15&amp;"/os/"&amp;IF(OR(E15="8",E15="7"),"x86_64",IF(F15="noarch","x86_64",IF(E15&lt;&gt;"6",F15,IF(F15="i686","i386",F15))))&amp;"/Packages/","/"&amp;E15&amp;"/"&amp;IF(OR(AND(E15="8",LEFT(D15,6)="python"),AND(E15="8",LEFT(D15,17)="redhat-rpm-config")),"AppStream","BaseOS")&amp;"/"&amp;IF(OR(E15="8",E15="7"),"x86_64",IF(F15="noarch","x86_64",IF(E15&lt;&gt;"6",F15,IF(F15="i686","i386",F15))))&amp;"/os/Packages/"),"/pub/repos/yum/"&amp;C15&amp;"/redhat/rhel-"&amp;E15&amp;IF(E15&lt;&gt;"8","Server","")&amp;"-"&amp;IF(E15&lt;&gt;"6",F15,IF(F15="i686","i386",F15))&amp;"/")</f>
        <v>https://download.postgresql.org/pub/repos/yum/11/redhat/rhel-6Server-i386/</v>
      </c>
      <c r="C15" s="20" t="str">
        <f t="shared" si="0"/>
        <v>11</v>
      </c>
      <c r="D15" t="s">
        <v>82</v>
      </c>
      <c r="E15" s="20" t="s">
        <v>68</v>
      </c>
      <c r="F15" t="s">
        <v>69</v>
      </c>
      <c r="G15">
        <f t="shared" si="1"/>
        <v>1</v>
      </c>
      <c r="I15" t="str">
        <f t="shared" si="2"/>
        <v>postgresql11-contrib*rhel6*i686.rpm</v>
      </c>
      <c r="J15" t="s">
        <v>148</v>
      </c>
    </row>
    <row r="16" spans="2:10" x14ac:dyDescent="0.3">
      <c r="B16" t="str">
        <f>IF(C16&lt;&gt;"","https://download.postgresql.org",[2]Main!$J$28)&amp;IF(C16="",IF(E16&lt;&gt;"8","/"&amp;E16&amp;"/os/"&amp;IF(OR(E16="8",E16="7"),"x86_64",IF(F16="noarch","x86_64",IF(E16&lt;&gt;"6",F16,IF(F16="i686","i386",F16))))&amp;"/Packages/","/"&amp;E16&amp;"/"&amp;IF(OR(AND(E16="8",LEFT(D16,6)="python"),AND(E16="8",LEFT(D16,17)="redhat-rpm-config")),"AppStream","BaseOS")&amp;"/"&amp;IF(OR(E16="8",E16="7"),"x86_64",IF(F16="noarch","x86_64",IF(E16&lt;&gt;"6",F16,IF(F16="i686","i386",F16))))&amp;"/os/Packages/"),"/pub/repos/yum/"&amp;C16&amp;"/redhat/rhel-"&amp;E16&amp;IF(E16&lt;&gt;"8","Server","")&amp;"-"&amp;IF(E16&lt;&gt;"6",F16,IF(F16="i686","i386",F16))&amp;"/")</f>
        <v>https://download.postgresql.org/pub/repos/yum/11/redhat/rhel-6Server-i386/</v>
      </c>
      <c r="C16" s="20" t="str">
        <f t="shared" si="0"/>
        <v>11</v>
      </c>
      <c r="D16" t="s">
        <v>83</v>
      </c>
      <c r="E16" s="20" t="s">
        <v>68</v>
      </c>
      <c r="F16" t="s">
        <v>69</v>
      </c>
      <c r="G16">
        <f t="shared" si="1"/>
        <v>1</v>
      </c>
      <c r="I16" t="str">
        <f t="shared" si="2"/>
        <v>postgresql11-libs*rhel6*i686.rpm</v>
      </c>
      <c r="J16" t="s">
        <v>149</v>
      </c>
    </row>
    <row r="17" spans="2:10" x14ac:dyDescent="0.3">
      <c r="B17" t="str">
        <f>IF(C17&lt;&gt;"","https://download.postgresql.org",[2]Main!$J$28)&amp;IF(C17="",IF(E17&lt;&gt;"8","/"&amp;E17&amp;"/os/"&amp;IF(OR(E17="8",E17="7"),"x86_64",IF(F17="noarch","x86_64",IF(E17&lt;&gt;"6",F17,IF(F17="i686","i386",F17))))&amp;"/Packages/","/"&amp;E17&amp;"/"&amp;IF(OR(AND(E17="8",LEFT(D17,6)="python"),AND(E17="8",LEFT(D17,17)="redhat-rpm-config")),"AppStream","BaseOS")&amp;"/"&amp;IF(OR(E17="8",E17="7"),"x86_64",IF(F17="noarch","x86_64",IF(E17&lt;&gt;"6",F17,IF(F17="i686","i386",F17))))&amp;"/os/Packages/"),"/pub/repos/yum/"&amp;C17&amp;"/redhat/rhel-"&amp;E17&amp;IF(E17&lt;&gt;"8","Server","")&amp;"-"&amp;IF(E17&lt;&gt;"6",F17,IF(F17="i686","i386",F17))&amp;"/")</f>
        <v>https://download.postgresql.org/pub/repos/yum/11/redhat/rhel-6Server-i386/</v>
      </c>
      <c r="C17" s="20" t="str">
        <f t="shared" si="0"/>
        <v>11</v>
      </c>
      <c r="D17" t="s">
        <v>84</v>
      </c>
      <c r="E17" s="20" t="s">
        <v>68</v>
      </c>
      <c r="F17" t="s">
        <v>69</v>
      </c>
      <c r="G17">
        <f t="shared" si="1"/>
        <v>0</v>
      </c>
      <c r="I17" t="str">
        <f t="shared" si="2"/>
        <v>postgresql11-server*rhel6*i686.rpm</v>
      </c>
      <c r="J17" t="s">
        <v>150</v>
      </c>
    </row>
    <row r="18" spans="2:10" x14ac:dyDescent="0.3">
      <c r="B18" t="str">
        <f>IF(C18&lt;&gt;"","https://download.postgresql.org",[2]Main!$J$28)&amp;IF(C18="",IF(E18&lt;&gt;"8","/"&amp;E18&amp;"/os/"&amp;IF(OR(E18="8",E18="7"),"x86_64",IF(F18="noarch","x86_64",IF(E18&lt;&gt;"6",F18,IF(F18="i686","i386",F18))))&amp;"/Packages/","/"&amp;E18&amp;"/"&amp;IF(OR(AND(E18="8",LEFT(D18,6)="python"),AND(E18="8",LEFT(D18,17)="redhat-rpm-config")),"AppStream","BaseOS")&amp;"/"&amp;IF(OR(E18="8",E18="7"),"x86_64",IF(F18="noarch","x86_64",IF(E18&lt;&gt;"6",F18,IF(F18="i686","i386",F18))))&amp;"/os/Packages/"),"/pub/repos/yum/"&amp;C18&amp;"/redhat/rhel-"&amp;E18&amp;IF(E18&lt;&gt;"8","Server","")&amp;"-"&amp;IF(E18&lt;&gt;"6",F18,IF(F18="i686","i386",F18))&amp;"/")</f>
        <v>https://download.postgresql.org/pub/repos/yum/12/redhat/rhel-6Server-i386/</v>
      </c>
      <c r="C18" s="20" t="str">
        <f t="shared" si="0"/>
        <v>12</v>
      </c>
      <c r="D18" t="s">
        <v>85</v>
      </c>
      <c r="E18" s="20" t="s">
        <v>68</v>
      </c>
      <c r="F18" t="s">
        <v>69</v>
      </c>
      <c r="G18">
        <f t="shared" si="1"/>
        <v>1</v>
      </c>
      <c r="I18" t="str">
        <f t="shared" si="2"/>
        <v>postgresql12*rhel6*i686.rpm</v>
      </c>
      <c r="J18" t="s">
        <v>316</v>
      </c>
    </row>
    <row r="19" spans="2:10" x14ac:dyDescent="0.3">
      <c r="B19" t="str">
        <f>IF(C19&lt;&gt;"","https://download.postgresql.org",[2]Main!$J$28)&amp;IF(C19="",IF(E19&lt;&gt;"8","/"&amp;E19&amp;"/os/"&amp;IF(OR(E19="8",E19="7"),"x86_64",IF(F19="noarch","x86_64",IF(E19&lt;&gt;"6",F19,IF(F19="i686","i386",F19))))&amp;"/Packages/","/"&amp;E19&amp;"/"&amp;IF(OR(AND(E19="8",LEFT(D19,6)="python"),AND(E19="8",LEFT(D19,17)="redhat-rpm-config")),"AppStream","BaseOS")&amp;"/"&amp;IF(OR(E19="8",E19="7"),"x86_64",IF(F19="noarch","x86_64",IF(E19&lt;&gt;"6",F19,IF(F19="i686","i386",F19))))&amp;"/os/Packages/"),"/pub/repos/yum/"&amp;C19&amp;"/redhat/rhel-"&amp;E19&amp;IF(E19&lt;&gt;"8","Server","")&amp;"-"&amp;IF(E19&lt;&gt;"6",F19,IF(F19="i686","i386",F19))&amp;"/")</f>
        <v>https://download.postgresql.org/pub/repos/yum/12/redhat/rhel-6Server-i386/</v>
      </c>
      <c r="C19" s="20" t="str">
        <f t="shared" si="0"/>
        <v>12</v>
      </c>
      <c r="D19" t="s">
        <v>86</v>
      </c>
      <c r="E19" s="20" t="s">
        <v>68</v>
      </c>
      <c r="F19" t="s">
        <v>69</v>
      </c>
      <c r="G19">
        <f t="shared" si="1"/>
        <v>1</v>
      </c>
      <c r="I19" t="str">
        <f t="shared" si="2"/>
        <v>postgresql12-contrib*rhel6*i686.rpm</v>
      </c>
      <c r="J19" t="s">
        <v>317</v>
      </c>
    </row>
    <row r="20" spans="2:10" x14ac:dyDescent="0.3">
      <c r="B20" t="str">
        <f>IF(C20&lt;&gt;"","https://download.postgresql.org",[2]Main!$J$28)&amp;IF(C20="",IF(E20&lt;&gt;"8","/"&amp;E20&amp;"/os/"&amp;IF(OR(E20="8",E20="7"),"x86_64",IF(F20="noarch","x86_64",IF(E20&lt;&gt;"6",F20,IF(F20="i686","i386",F20))))&amp;"/Packages/","/"&amp;E20&amp;"/"&amp;IF(OR(AND(E20="8",LEFT(D20,6)="python"),AND(E20="8",LEFT(D20,17)="redhat-rpm-config")),"AppStream","BaseOS")&amp;"/"&amp;IF(OR(E20="8",E20="7"),"x86_64",IF(F20="noarch","x86_64",IF(E20&lt;&gt;"6",F20,IF(F20="i686","i386",F20))))&amp;"/os/Packages/"),"/pub/repos/yum/"&amp;C20&amp;"/redhat/rhel-"&amp;E20&amp;IF(E20&lt;&gt;"8","Server","")&amp;"-"&amp;IF(E20&lt;&gt;"6",F20,IF(F20="i686","i386",F20))&amp;"/")</f>
        <v>https://download.postgresql.org/pub/repos/yum/12/redhat/rhel-6Server-i386/</v>
      </c>
      <c r="C20" s="20" t="str">
        <f t="shared" si="0"/>
        <v>12</v>
      </c>
      <c r="D20" t="s">
        <v>87</v>
      </c>
      <c r="E20" s="20" t="s">
        <v>68</v>
      </c>
      <c r="F20" t="s">
        <v>69</v>
      </c>
      <c r="G20">
        <f t="shared" si="1"/>
        <v>1</v>
      </c>
      <c r="I20" t="str">
        <f t="shared" si="2"/>
        <v>postgresql12-libs*rhel6*i686.rpm</v>
      </c>
      <c r="J20" t="s">
        <v>318</v>
      </c>
    </row>
    <row r="21" spans="2:10" x14ac:dyDescent="0.3">
      <c r="B21" t="str">
        <f>IF(C21&lt;&gt;"","https://download.postgresql.org",[2]Main!$J$28)&amp;IF(C21="",IF(E21&lt;&gt;"8","/"&amp;E21&amp;"/os/"&amp;IF(OR(E21="8",E21="7"),"x86_64",IF(F21="noarch","x86_64",IF(E21&lt;&gt;"6",F21,IF(F21="i686","i386",F21))))&amp;"/Packages/","/"&amp;E21&amp;"/"&amp;IF(OR(AND(E21="8",LEFT(D21,6)="python"),AND(E21="8",LEFT(D21,17)="redhat-rpm-config")),"AppStream","BaseOS")&amp;"/"&amp;IF(OR(E21="8",E21="7"),"x86_64",IF(F21="noarch","x86_64",IF(E21&lt;&gt;"6",F21,IF(F21="i686","i386",F21))))&amp;"/os/Packages/"),"/pub/repos/yum/"&amp;C21&amp;"/redhat/rhel-"&amp;E21&amp;IF(E21&lt;&gt;"8","Server","")&amp;"-"&amp;IF(E21&lt;&gt;"6",F21,IF(F21="i686","i386",F21))&amp;"/")</f>
        <v>https://download.postgresql.org/pub/repos/yum/12/redhat/rhel-6Server-i386/</v>
      </c>
      <c r="C21" s="20" t="str">
        <f t="shared" si="0"/>
        <v>12</v>
      </c>
      <c r="D21" t="s">
        <v>88</v>
      </c>
      <c r="E21" s="20" t="s">
        <v>68</v>
      </c>
      <c r="F21" t="s">
        <v>69</v>
      </c>
      <c r="G21">
        <f t="shared" si="1"/>
        <v>0</v>
      </c>
      <c r="I21" t="str">
        <f t="shared" si="2"/>
        <v>postgresql12-server*rhel6*i686.rpm</v>
      </c>
      <c r="J21" t="s">
        <v>319</v>
      </c>
    </row>
    <row r="22" spans="2:10" x14ac:dyDescent="0.3">
      <c r="B22" t="str">
        <f>IF(C22&lt;&gt;"","https://download.postgresql.org",[2]Main!$J$28)&amp;IF(C22="",IF(E22&lt;&gt;"8","/"&amp;E22&amp;"/os/"&amp;IF(OR(E22="8",E22="7"),"x86_64",IF(F22="noarch","x86_64",IF(E22&lt;&gt;"6",F22,IF(F22="i686","i386",F22))))&amp;"/Packages/","/"&amp;E22&amp;"/"&amp;IF(OR(AND(E22="8",LEFT(D22,6)="python"),AND(E22="8",LEFT(D22,17)="redhat-rpm-config")),"AppStream","BaseOS")&amp;"/"&amp;IF(OR(E22="8",E22="7"),"x86_64",IF(F22="noarch","x86_64",IF(E22&lt;&gt;"6",F22,IF(F22="i686","i386",F22))))&amp;"/os/Packages/"),"/pub/repos/yum/"&amp;C22&amp;"/redhat/rhel-"&amp;E22&amp;IF(E22&lt;&gt;"8","Server","")&amp;"-"&amp;IF(E22&lt;&gt;"6",F22,IF(F22="i686","i386",F22))&amp;"/")</f>
        <v>https://download.postgresql.org/pub/repos/yum/9.4/redhat/rhel-6Server-i386/</v>
      </c>
      <c r="C22" s="20">
        <f t="shared" si="0"/>
        <v>9.4</v>
      </c>
      <c r="D22" t="s">
        <v>89</v>
      </c>
      <c r="E22" s="20" t="s">
        <v>68</v>
      </c>
      <c r="F22" t="s">
        <v>69</v>
      </c>
      <c r="G22">
        <f t="shared" si="1"/>
        <v>1</v>
      </c>
      <c r="I22" t="str">
        <f t="shared" si="2"/>
        <v>postgresql94*rhel6*i686.rpm</v>
      </c>
      <c r="J22" t="s">
        <v>252</v>
      </c>
    </row>
    <row r="23" spans="2:10" x14ac:dyDescent="0.3">
      <c r="B23" t="str">
        <f>IF(C23&lt;&gt;"","https://download.postgresql.org",[2]Main!$J$28)&amp;IF(C23="",IF(E23&lt;&gt;"8","/"&amp;E23&amp;"/os/"&amp;IF(OR(E23="8",E23="7"),"x86_64",IF(F23="noarch","x86_64",IF(E23&lt;&gt;"6",F23,IF(F23="i686","i386",F23))))&amp;"/Packages/","/"&amp;E23&amp;"/"&amp;IF(OR(AND(E23="8",LEFT(D23,6)="python"),AND(E23="8",LEFT(D23,17)="redhat-rpm-config")),"AppStream","BaseOS")&amp;"/"&amp;IF(OR(E23="8",E23="7"),"x86_64",IF(F23="noarch","x86_64",IF(E23&lt;&gt;"6",F23,IF(F23="i686","i386",F23))))&amp;"/os/Packages/"),"/pub/repos/yum/"&amp;C23&amp;"/redhat/rhel-"&amp;E23&amp;IF(E23&lt;&gt;"8","Server","")&amp;"-"&amp;IF(E23&lt;&gt;"6",F23,IF(F23="i686","i386",F23))&amp;"/")</f>
        <v>https://download.postgresql.org/pub/repos/yum/9.4/redhat/rhel-6Server-i386/</v>
      </c>
      <c r="C23" s="20">
        <f t="shared" si="0"/>
        <v>9.4</v>
      </c>
      <c r="D23" t="s">
        <v>90</v>
      </c>
      <c r="E23" s="20" t="s">
        <v>68</v>
      </c>
      <c r="F23" t="s">
        <v>69</v>
      </c>
      <c r="G23">
        <f t="shared" si="1"/>
        <v>1</v>
      </c>
      <c r="I23" t="str">
        <f t="shared" si="2"/>
        <v>postgresql94-contrib*rhel6*i686.rpm</v>
      </c>
      <c r="J23" t="s">
        <v>151</v>
      </c>
    </row>
    <row r="24" spans="2:10" x14ac:dyDescent="0.3">
      <c r="B24" t="str">
        <f>IF(C24&lt;&gt;"","https://download.postgresql.org",[2]Main!$J$28)&amp;IF(C24="",IF(E24&lt;&gt;"8","/"&amp;E24&amp;"/os/"&amp;IF(OR(E24="8",E24="7"),"x86_64",IF(F24="noarch","x86_64",IF(E24&lt;&gt;"6",F24,IF(F24="i686","i386",F24))))&amp;"/Packages/","/"&amp;E24&amp;"/"&amp;IF(OR(AND(E24="8",LEFT(D24,6)="python"),AND(E24="8",LEFT(D24,17)="redhat-rpm-config")),"AppStream","BaseOS")&amp;"/"&amp;IF(OR(E24="8",E24="7"),"x86_64",IF(F24="noarch","x86_64",IF(E24&lt;&gt;"6",F24,IF(F24="i686","i386",F24))))&amp;"/os/Packages/"),"/pub/repos/yum/"&amp;C24&amp;"/redhat/rhel-"&amp;E24&amp;IF(E24&lt;&gt;"8","Server","")&amp;"-"&amp;IF(E24&lt;&gt;"6",F24,IF(F24="i686","i386",F24))&amp;"/")</f>
        <v>https://download.postgresql.org/pub/repos/yum/9.4/redhat/rhel-6Server-i386/</v>
      </c>
      <c r="C24" s="20">
        <f t="shared" si="0"/>
        <v>9.4</v>
      </c>
      <c r="D24" t="s">
        <v>91</v>
      </c>
      <c r="E24" s="20" t="s">
        <v>68</v>
      </c>
      <c r="F24" t="s">
        <v>69</v>
      </c>
      <c r="G24">
        <f t="shared" si="1"/>
        <v>1</v>
      </c>
      <c r="I24" t="str">
        <f t="shared" si="2"/>
        <v>postgresql94-libs*rhel6*i686.rpm</v>
      </c>
      <c r="J24" t="s">
        <v>152</v>
      </c>
    </row>
    <row r="25" spans="2:10" x14ac:dyDescent="0.3">
      <c r="B25" t="str">
        <f>IF(C25&lt;&gt;"","https://download.postgresql.org",[2]Main!$J$28)&amp;IF(C25="",IF(E25&lt;&gt;"8","/"&amp;E25&amp;"/os/"&amp;IF(OR(E25="8",E25="7"),"x86_64",IF(F25="noarch","x86_64",IF(E25&lt;&gt;"6",F25,IF(F25="i686","i386",F25))))&amp;"/Packages/","/"&amp;E25&amp;"/"&amp;IF(OR(AND(E25="8",LEFT(D25,6)="python"),AND(E25="8",LEFT(D25,17)="redhat-rpm-config")),"AppStream","BaseOS")&amp;"/"&amp;IF(OR(E25="8",E25="7"),"x86_64",IF(F25="noarch","x86_64",IF(E25&lt;&gt;"6",F25,IF(F25="i686","i386",F25))))&amp;"/os/Packages/"),"/pub/repos/yum/"&amp;C25&amp;"/redhat/rhel-"&amp;E25&amp;IF(E25&lt;&gt;"8","Server","")&amp;"-"&amp;IF(E25&lt;&gt;"6",F25,IF(F25="i686","i386",F25))&amp;"/")</f>
        <v>https://download.postgresql.org/pub/repos/yum/9.4/redhat/rhel-6Server-i386/</v>
      </c>
      <c r="C25" s="20">
        <f t="shared" si="0"/>
        <v>9.4</v>
      </c>
      <c r="D25" t="s">
        <v>92</v>
      </c>
      <c r="E25" s="20" t="s">
        <v>68</v>
      </c>
      <c r="F25" t="s">
        <v>69</v>
      </c>
      <c r="G25">
        <f t="shared" si="1"/>
        <v>0</v>
      </c>
      <c r="I25" t="str">
        <f t="shared" si="2"/>
        <v>postgresql94-server*rhel6*i686.rpm</v>
      </c>
      <c r="J25" t="s">
        <v>153</v>
      </c>
    </row>
    <row r="26" spans="2:10" x14ac:dyDescent="0.3">
      <c r="B26" t="str">
        <f>IF(C26&lt;&gt;"","https://download.postgresql.org",[2]Main!$J$28)&amp;IF(C26="",IF(E26&lt;&gt;"8","/"&amp;E26&amp;"/os/"&amp;IF(OR(E26="8",E26="7"),"x86_64",IF(F26="noarch","x86_64",IF(E26&lt;&gt;"6",F26,IF(F26="i686","i386",F26))))&amp;"/Packages/","/"&amp;E26&amp;"/"&amp;IF(OR(AND(E26="8",LEFT(D26,6)="python"),AND(E26="8",LEFT(D26,17)="redhat-rpm-config")),"AppStream","BaseOS")&amp;"/"&amp;IF(OR(E26="8",E26="7"),"x86_64",IF(F26="noarch","x86_64",IF(E26&lt;&gt;"6",F26,IF(F26="i686","i386",F26))))&amp;"/os/Packages/"),"/pub/repos/yum/"&amp;C26&amp;"/redhat/rhel-"&amp;E26&amp;IF(E26&lt;&gt;"8","Server","")&amp;"-"&amp;IF(E26&lt;&gt;"6",F26,IF(F26="i686","i386",F26))&amp;"/")</f>
        <v>https://download.postgresql.org/pub/repos/yum/9.5/redhat/rhel-6Server-i386/</v>
      </c>
      <c r="C26" s="20">
        <f t="shared" si="0"/>
        <v>9.5</v>
      </c>
      <c r="D26" t="s">
        <v>93</v>
      </c>
      <c r="E26" s="20" t="s">
        <v>68</v>
      </c>
      <c r="F26" t="s">
        <v>69</v>
      </c>
      <c r="G26">
        <f t="shared" si="1"/>
        <v>1</v>
      </c>
      <c r="I26" t="str">
        <f t="shared" si="2"/>
        <v>postgresql95*rhel6*i686.rpm</v>
      </c>
      <c r="J26" t="s">
        <v>253</v>
      </c>
    </row>
    <row r="27" spans="2:10" x14ac:dyDescent="0.3">
      <c r="B27" t="str">
        <f>IF(C27&lt;&gt;"","https://download.postgresql.org",[2]Main!$J$28)&amp;IF(C27="",IF(E27&lt;&gt;"8","/"&amp;E27&amp;"/os/"&amp;IF(OR(E27="8",E27="7"),"x86_64",IF(F27="noarch","x86_64",IF(E27&lt;&gt;"6",F27,IF(F27="i686","i386",F27))))&amp;"/Packages/","/"&amp;E27&amp;"/"&amp;IF(OR(AND(E27="8",LEFT(D27,6)="python"),AND(E27="8",LEFT(D27,17)="redhat-rpm-config")),"AppStream","BaseOS")&amp;"/"&amp;IF(OR(E27="8",E27="7"),"x86_64",IF(F27="noarch","x86_64",IF(E27&lt;&gt;"6",F27,IF(F27="i686","i386",F27))))&amp;"/os/Packages/"),"/pub/repos/yum/"&amp;C27&amp;"/redhat/rhel-"&amp;E27&amp;IF(E27&lt;&gt;"8","Server","")&amp;"-"&amp;IF(E27&lt;&gt;"6",F27,IF(F27="i686","i386",F27))&amp;"/")</f>
        <v>https://download.postgresql.org/pub/repos/yum/9.5/redhat/rhel-6Server-i386/</v>
      </c>
      <c r="C27" s="20">
        <f t="shared" si="0"/>
        <v>9.5</v>
      </c>
      <c r="D27" t="s">
        <v>94</v>
      </c>
      <c r="E27" s="20" t="s">
        <v>68</v>
      </c>
      <c r="F27" t="s">
        <v>69</v>
      </c>
      <c r="G27">
        <f t="shared" si="1"/>
        <v>1</v>
      </c>
      <c r="I27" t="str">
        <f t="shared" si="2"/>
        <v>postgresql95-contrib*rhel6*i686.rpm</v>
      </c>
      <c r="J27" t="s">
        <v>154</v>
      </c>
    </row>
    <row r="28" spans="2:10" x14ac:dyDescent="0.3">
      <c r="B28" t="str">
        <f>IF(C28&lt;&gt;"","https://download.postgresql.org",[2]Main!$J$28)&amp;IF(C28="",IF(E28&lt;&gt;"8","/"&amp;E28&amp;"/os/"&amp;IF(OR(E28="8",E28="7"),"x86_64",IF(F28="noarch","x86_64",IF(E28&lt;&gt;"6",F28,IF(F28="i686","i386",F28))))&amp;"/Packages/","/"&amp;E28&amp;"/"&amp;IF(OR(AND(E28="8",LEFT(D28,6)="python"),AND(E28="8",LEFT(D28,17)="redhat-rpm-config")),"AppStream","BaseOS")&amp;"/"&amp;IF(OR(E28="8",E28="7"),"x86_64",IF(F28="noarch","x86_64",IF(E28&lt;&gt;"6",F28,IF(F28="i686","i386",F28))))&amp;"/os/Packages/"),"/pub/repos/yum/"&amp;C28&amp;"/redhat/rhel-"&amp;E28&amp;IF(E28&lt;&gt;"8","Server","")&amp;"-"&amp;IF(E28&lt;&gt;"6",F28,IF(F28="i686","i386",F28))&amp;"/")</f>
        <v>https://download.postgresql.org/pub/repos/yum/9.5/redhat/rhel-6Server-i386/</v>
      </c>
      <c r="C28" s="20">
        <f t="shared" si="0"/>
        <v>9.5</v>
      </c>
      <c r="D28" t="s">
        <v>95</v>
      </c>
      <c r="E28" s="20" t="s">
        <v>68</v>
      </c>
      <c r="F28" t="s">
        <v>69</v>
      </c>
      <c r="G28">
        <f t="shared" si="1"/>
        <v>1</v>
      </c>
      <c r="I28" t="str">
        <f t="shared" si="2"/>
        <v>postgresql95-libs*rhel6*i686.rpm</v>
      </c>
      <c r="J28" t="s">
        <v>155</v>
      </c>
    </row>
    <row r="29" spans="2:10" x14ac:dyDescent="0.3">
      <c r="B29" t="str">
        <f>IF(C29&lt;&gt;"","https://download.postgresql.org",[2]Main!$J$28)&amp;IF(C29="",IF(E29&lt;&gt;"8","/"&amp;E29&amp;"/os/"&amp;IF(OR(E29="8",E29="7"),"x86_64",IF(F29="noarch","x86_64",IF(E29&lt;&gt;"6",F29,IF(F29="i686","i386",F29))))&amp;"/Packages/","/"&amp;E29&amp;"/"&amp;IF(OR(AND(E29="8",LEFT(D29,6)="python"),AND(E29="8",LEFT(D29,17)="redhat-rpm-config")),"AppStream","BaseOS")&amp;"/"&amp;IF(OR(E29="8",E29="7"),"x86_64",IF(F29="noarch","x86_64",IF(E29&lt;&gt;"6",F29,IF(F29="i686","i386",F29))))&amp;"/os/Packages/"),"/pub/repos/yum/"&amp;C29&amp;"/redhat/rhel-"&amp;E29&amp;IF(E29&lt;&gt;"8","Server","")&amp;"-"&amp;IF(E29&lt;&gt;"6",F29,IF(F29="i686","i386",F29))&amp;"/")</f>
        <v>https://download.postgresql.org/pub/repos/yum/9.5/redhat/rhel-6Server-i386/</v>
      </c>
      <c r="C29" s="20">
        <f t="shared" si="0"/>
        <v>9.5</v>
      </c>
      <c r="D29" t="s">
        <v>96</v>
      </c>
      <c r="E29" s="20" t="s">
        <v>68</v>
      </c>
      <c r="F29" t="s">
        <v>69</v>
      </c>
      <c r="G29">
        <f t="shared" si="1"/>
        <v>0</v>
      </c>
      <c r="I29" t="str">
        <f t="shared" si="2"/>
        <v>postgresql95-server*rhel6*i686.rpm</v>
      </c>
      <c r="J29" t="s">
        <v>156</v>
      </c>
    </row>
    <row r="30" spans="2:10" x14ac:dyDescent="0.3">
      <c r="B30" t="str">
        <f>IF(C30&lt;&gt;"","https://download.postgresql.org",[2]Main!$J$28)&amp;IF(C30="",IF(E30&lt;&gt;"8","/"&amp;E30&amp;"/os/"&amp;IF(OR(E30="8",E30="7"),"x86_64",IF(F30="noarch","x86_64",IF(E30&lt;&gt;"6",F30,IF(F30="i686","i386",F30))))&amp;"/Packages/","/"&amp;E30&amp;"/"&amp;IF(OR(AND(E30="8",LEFT(D30,6)="python"),AND(E30="8",LEFT(D30,17)="redhat-rpm-config")),"AppStream","BaseOS")&amp;"/"&amp;IF(OR(E30="8",E30="7"),"x86_64",IF(F30="noarch","x86_64",IF(E30&lt;&gt;"6",F30,IF(F30="i686","i386",F30))))&amp;"/os/Packages/"),"/pub/repos/yum/"&amp;C30&amp;"/redhat/rhel-"&amp;E30&amp;IF(E30&lt;&gt;"8","Server","")&amp;"-"&amp;IF(E30&lt;&gt;"6",F30,IF(F30="i686","i386",F30))&amp;"/")</f>
        <v>https://download.postgresql.org/pub/repos/yum/9.6/redhat/rhel-6Server-i386/</v>
      </c>
      <c r="C30" s="20">
        <f t="shared" si="0"/>
        <v>9.6</v>
      </c>
      <c r="D30" t="s">
        <v>97</v>
      </c>
      <c r="E30" s="20" t="s">
        <v>68</v>
      </c>
      <c r="F30" t="s">
        <v>69</v>
      </c>
      <c r="G30">
        <f t="shared" si="1"/>
        <v>1</v>
      </c>
      <c r="I30" t="str">
        <f t="shared" si="2"/>
        <v>postgresql96*rhel6*i686.rpm</v>
      </c>
      <c r="J30" t="s">
        <v>254</v>
      </c>
    </row>
    <row r="31" spans="2:10" x14ac:dyDescent="0.3">
      <c r="B31" t="str">
        <f>IF(C31&lt;&gt;"","https://download.postgresql.org",[2]Main!$J$28)&amp;IF(C31="",IF(E31&lt;&gt;"8","/"&amp;E31&amp;"/os/"&amp;IF(OR(E31="8",E31="7"),"x86_64",IF(F31="noarch","x86_64",IF(E31&lt;&gt;"6",F31,IF(F31="i686","i386",F31))))&amp;"/Packages/","/"&amp;E31&amp;"/"&amp;IF(OR(AND(E31="8",LEFT(D31,6)="python"),AND(E31="8",LEFT(D31,17)="redhat-rpm-config")),"AppStream","BaseOS")&amp;"/"&amp;IF(OR(E31="8",E31="7"),"x86_64",IF(F31="noarch","x86_64",IF(E31&lt;&gt;"6",F31,IF(F31="i686","i386",F31))))&amp;"/os/Packages/"),"/pub/repos/yum/"&amp;C31&amp;"/redhat/rhel-"&amp;E31&amp;IF(E31&lt;&gt;"8","Server","")&amp;"-"&amp;IF(E31&lt;&gt;"6",F31,IF(F31="i686","i386",F31))&amp;"/")</f>
        <v>https://download.postgresql.org/pub/repos/yum/9.6/redhat/rhel-6Server-i386/</v>
      </c>
      <c r="C31" s="20">
        <f t="shared" si="0"/>
        <v>9.6</v>
      </c>
      <c r="D31" t="s">
        <v>98</v>
      </c>
      <c r="E31" s="20" t="s">
        <v>68</v>
      </c>
      <c r="F31" t="s">
        <v>69</v>
      </c>
      <c r="G31">
        <f t="shared" si="1"/>
        <v>1</v>
      </c>
      <c r="I31" t="str">
        <f t="shared" si="2"/>
        <v>postgresql96-contrib*rhel6*i686.rpm</v>
      </c>
      <c r="J31" t="s">
        <v>157</v>
      </c>
    </row>
    <row r="32" spans="2:10" x14ac:dyDescent="0.3">
      <c r="B32" t="str">
        <f>IF(C32&lt;&gt;"","https://download.postgresql.org",[2]Main!$J$28)&amp;IF(C32="",IF(E32&lt;&gt;"8","/"&amp;E32&amp;"/os/"&amp;IF(OR(E32="8",E32="7"),"x86_64",IF(F32="noarch","x86_64",IF(E32&lt;&gt;"6",F32,IF(F32="i686","i386",F32))))&amp;"/Packages/","/"&amp;E32&amp;"/"&amp;IF(OR(AND(E32="8",LEFT(D32,6)="python"),AND(E32="8",LEFT(D32,17)="redhat-rpm-config")),"AppStream","BaseOS")&amp;"/"&amp;IF(OR(E32="8",E32="7"),"x86_64",IF(F32="noarch","x86_64",IF(E32&lt;&gt;"6",F32,IF(F32="i686","i386",F32))))&amp;"/os/Packages/"),"/pub/repos/yum/"&amp;C32&amp;"/redhat/rhel-"&amp;E32&amp;IF(E32&lt;&gt;"8","Server","")&amp;"-"&amp;IF(E32&lt;&gt;"6",F32,IF(F32="i686","i386",F32))&amp;"/")</f>
        <v>https://download.postgresql.org/pub/repos/yum/9.6/redhat/rhel-6Server-i386/</v>
      </c>
      <c r="C32" s="20">
        <f t="shared" si="0"/>
        <v>9.6</v>
      </c>
      <c r="D32" t="s">
        <v>99</v>
      </c>
      <c r="E32" s="20" t="s">
        <v>68</v>
      </c>
      <c r="F32" t="s">
        <v>69</v>
      </c>
      <c r="G32">
        <f t="shared" si="1"/>
        <v>1</v>
      </c>
      <c r="I32" t="str">
        <f t="shared" si="2"/>
        <v>postgresql96-libs*rhel6*i686.rpm</v>
      </c>
      <c r="J32" t="s">
        <v>158</v>
      </c>
    </row>
    <row r="33" spans="2:10" x14ac:dyDescent="0.3">
      <c r="B33" t="str">
        <f>IF(C33&lt;&gt;"","https://download.postgresql.org",[2]Main!$J$28)&amp;IF(C33="",IF(E33&lt;&gt;"8","/"&amp;E33&amp;"/os/"&amp;IF(OR(E33="8",E33="7"),"x86_64",IF(F33="noarch","x86_64",IF(E33&lt;&gt;"6",F33,IF(F33="i686","i386",F33))))&amp;"/Packages/","/"&amp;E33&amp;"/"&amp;IF(OR(AND(E33="8",LEFT(D33,6)="python"),AND(E33="8",LEFT(D33,17)="redhat-rpm-config")),"AppStream","BaseOS")&amp;"/"&amp;IF(OR(E33="8",E33="7"),"x86_64",IF(F33="noarch","x86_64",IF(E33&lt;&gt;"6",F33,IF(F33="i686","i386",F33))))&amp;"/os/Packages/"),"/pub/repos/yum/"&amp;C33&amp;"/redhat/rhel-"&amp;E33&amp;IF(E33&lt;&gt;"8","Server","")&amp;"-"&amp;IF(E33&lt;&gt;"6",F33,IF(F33="i686","i386",F33))&amp;"/")</f>
        <v>https://download.postgresql.org/pub/repos/yum/9.6/redhat/rhel-6Server-i386/</v>
      </c>
      <c r="C33" s="20">
        <f t="shared" si="0"/>
        <v>9.6</v>
      </c>
      <c r="D33" t="s">
        <v>100</v>
      </c>
      <c r="E33" s="20" t="s">
        <v>68</v>
      </c>
      <c r="F33" t="s">
        <v>69</v>
      </c>
      <c r="G33">
        <f t="shared" si="1"/>
        <v>0</v>
      </c>
      <c r="I33" t="str">
        <f t="shared" si="2"/>
        <v>postgresql96-server*rhel6*i686.rpm</v>
      </c>
      <c r="J33" t="s">
        <v>159</v>
      </c>
    </row>
    <row r="34" spans="2:10" x14ac:dyDescent="0.3">
      <c r="B34" t="str">
        <f>IF(C34&lt;&gt;"","https://download.postgresql.org",[2]Main!$J$28)&amp;IF(C34="",IF(E34&lt;&gt;"8","/"&amp;E34&amp;"/os/"&amp;IF(OR(E34="8",E34="7"),"x86_64",IF(F34="noarch","x86_64",IF(E34&lt;&gt;"6",F34,IF(F34="i686","i386",F34))))&amp;"/Packages/","/"&amp;E34&amp;"/"&amp;IF(OR(AND(E34="8",LEFT(D34,6)="python"),AND(E34="8",LEFT(D34,17)="redhat-rpm-config")),"AppStream","BaseOS")&amp;"/"&amp;IF(OR(E34="8",E34="7"),"x86_64",IF(F34="noarch","x86_64",IF(E34&lt;&gt;"6",F34,IF(F34="i686","i386",F34))))&amp;"/os/Packages/"),"/pub/repos/yum/"&amp;C34&amp;"/redhat/rhel-"&amp;E34&amp;IF(E34&lt;&gt;"8","Server","")&amp;"-"&amp;IF(E34&lt;&gt;"6",F34,IF(F34="i686","i386",F34))&amp;"/")</f>
        <v>http://mirror.kakao.com/centos/6/os/x86_64/Packages/</v>
      </c>
      <c r="C34" s="20" t="str">
        <f t="shared" ref="C34:C65" si="3">IF(IF(LEFT(D34,10)="postgresql",RIGHT(LEFT(D34,12),2),"")&gt;"90",IF(LEFT(D34,10)="postgresql",RIGHT(LEFT(D34,12),2),"")/10,IF(LEFT(D34,10)="postgresql",RIGHT(LEFT(D34,12),2),""))</f>
        <v/>
      </c>
      <c r="D34" t="s">
        <v>101</v>
      </c>
      <c r="E34" s="20" t="s">
        <v>68</v>
      </c>
      <c r="F34" t="s">
        <v>102</v>
      </c>
      <c r="G34">
        <f t="shared" ref="G34:G65" si="4">IF(B34=B35,1,0)</f>
        <v>1</v>
      </c>
      <c r="I34" t="str">
        <f t="shared" ref="I34:I65" si="5">D34&amp;"*"&amp;IF(C34&lt;&gt;"","rhel","el")&amp;E34&amp;"*"&amp;F34&amp;".rpm"</f>
        <v>libicu-doc*el6*noarch.rpm</v>
      </c>
      <c r="J34" t="s">
        <v>160</v>
      </c>
    </row>
    <row r="35" spans="2:10" x14ac:dyDescent="0.3">
      <c r="B35" t="str">
        <f>IF(C35&lt;&gt;"","https://download.postgresql.org",[2]Main!$J$28)&amp;IF(C35="",IF(E35&lt;&gt;"8","/"&amp;E35&amp;"/os/"&amp;IF(OR(E35="8",E35="7"),"x86_64",IF(F35="noarch","x86_64",IF(E35&lt;&gt;"6",F35,IF(F35="i686","i386",F35))))&amp;"/Packages/","/"&amp;E35&amp;"/"&amp;IF(OR(AND(E35="8",LEFT(D35,6)="python"),AND(E35="8",LEFT(D35,17)="redhat-rpm-config")),"AppStream","BaseOS")&amp;"/"&amp;IF(OR(E35="8",E35="7"),"x86_64",IF(F35="noarch","x86_64",IF(E35&lt;&gt;"6",F35,IF(F35="i686","i386",F35))))&amp;"/os/Packages/"),"/pub/repos/yum/"&amp;C35&amp;"/redhat/rhel-"&amp;E35&amp;IF(E35&lt;&gt;"8","Server","")&amp;"-"&amp;IF(E35&lt;&gt;"6",F35,IF(F35="i686","i386",F35))&amp;"/")</f>
        <v>http://mirror.kakao.com/centos/6/os/x86_64/Packages/</v>
      </c>
      <c r="C35" s="20" t="str">
        <f t="shared" si="3"/>
        <v/>
      </c>
      <c r="D35" t="s">
        <v>67</v>
      </c>
      <c r="E35" s="20" t="s">
        <v>68</v>
      </c>
      <c r="F35" t="s">
        <v>103</v>
      </c>
      <c r="G35">
        <f t="shared" si="4"/>
        <v>1</v>
      </c>
      <c r="I35" t="str">
        <f t="shared" si="5"/>
        <v>libicu*el6*x86_64.rpm</v>
      </c>
      <c r="J35" t="s">
        <v>271</v>
      </c>
    </row>
    <row r="36" spans="2:10" x14ac:dyDescent="0.3">
      <c r="B36" t="str">
        <f>IF(C36&lt;&gt;"","https://download.postgresql.org",[2]Main!$J$28)&amp;IF(C36="",IF(E36&lt;&gt;"8","/"&amp;E36&amp;"/os/"&amp;IF(OR(E36="8",E36="7"),"x86_64",IF(F36="noarch","x86_64",IF(E36&lt;&gt;"6",F36,IF(F36="i686","i386",F36))))&amp;"/Packages/","/"&amp;E36&amp;"/"&amp;IF(OR(AND(E36="8",LEFT(D36,6)="python"),AND(E36="8",LEFT(D36,17)="redhat-rpm-config")),"AppStream","BaseOS")&amp;"/"&amp;IF(OR(E36="8",E36="7"),"x86_64",IF(F36="noarch","x86_64",IF(E36&lt;&gt;"6",F36,IF(F36="i686","i386",F36))))&amp;"/os/Packages/"),"/pub/repos/yum/"&amp;C36&amp;"/redhat/rhel-"&amp;E36&amp;IF(E36&lt;&gt;"8","Server","")&amp;"-"&amp;IF(E36&lt;&gt;"6",F36,IF(F36="i686","i386",F36))&amp;"/")</f>
        <v>http://mirror.kakao.com/centos/6/os/x86_64/Packages/</v>
      </c>
      <c r="C36" s="20" t="str">
        <f t="shared" si="3"/>
        <v/>
      </c>
      <c r="D36" t="s">
        <v>70</v>
      </c>
      <c r="E36" s="20" t="s">
        <v>68</v>
      </c>
      <c r="F36" t="s">
        <v>103</v>
      </c>
      <c r="G36">
        <f t="shared" si="4"/>
        <v>1</v>
      </c>
      <c r="I36" t="str">
        <f t="shared" si="5"/>
        <v>libxslt*el6*x86_64.rpm</v>
      </c>
      <c r="J36" t="s">
        <v>272</v>
      </c>
    </row>
    <row r="37" spans="2:10" x14ac:dyDescent="0.3">
      <c r="B37" t="str">
        <f>IF(C37&lt;&gt;"","https://download.postgresql.org",[2]Main!$J$28)&amp;IF(C37="",IF(E37&lt;&gt;"8","/"&amp;E37&amp;"/os/"&amp;IF(OR(E37="8",E37="7"),"x86_64",IF(F37="noarch","x86_64",IF(E37&lt;&gt;"6",F37,IF(F37="i686","i386",F37))))&amp;"/Packages/","/"&amp;E37&amp;"/"&amp;IF(OR(AND(E37="8",LEFT(D37,6)="python"),AND(E37="8",LEFT(D37,17)="redhat-rpm-config")),"AppStream","BaseOS")&amp;"/"&amp;IF(OR(E37="8",E37="7"),"x86_64",IF(F37="noarch","x86_64",IF(E37&lt;&gt;"6",F37,IF(F37="i686","i386",F37))))&amp;"/os/Packages/"),"/pub/repos/yum/"&amp;C37&amp;"/redhat/rhel-"&amp;E37&amp;IF(E37&lt;&gt;"8","Server","")&amp;"-"&amp;IF(E37&lt;&gt;"6",F37,IF(F37="i686","i386",F37))&amp;"/")</f>
        <v>http://mirror.kakao.com/centos/6/os/x86_64/Packages/</v>
      </c>
      <c r="C37" s="20" t="str">
        <f t="shared" si="3"/>
        <v/>
      </c>
      <c r="D37" t="s">
        <v>71</v>
      </c>
      <c r="E37" s="20" t="s">
        <v>68</v>
      </c>
      <c r="F37" t="s">
        <v>103</v>
      </c>
      <c r="G37">
        <f t="shared" si="4"/>
        <v>1</v>
      </c>
      <c r="I37" t="str">
        <f t="shared" si="5"/>
        <v>perl*el6*x86_64.rpm</v>
      </c>
      <c r="J37" t="s">
        <v>273</v>
      </c>
    </row>
    <row r="38" spans="2:10" x14ac:dyDescent="0.3">
      <c r="B38" t="str">
        <f>IF(C38&lt;&gt;"","https://download.postgresql.org",[2]Main!$J$28)&amp;IF(C38="",IF(E38&lt;&gt;"8","/"&amp;E38&amp;"/os/"&amp;IF(OR(E38="8",E38="7"),"x86_64",IF(F38="noarch","x86_64",IF(E38&lt;&gt;"6",F38,IF(F38="i686","i386",F38))))&amp;"/Packages/","/"&amp;E38&amp;"/"&amp;IF(OR(AND(E38="8",LEFT(D38,6)="python"),AND(E38="8",LEFT(D38,17)="redhat-rpm-config")),"AppStream","BaseOS")&amp;"/"&amp;IF(OR(E38="8",E38="7"),"x86_64",IF(F38="noarch","x86_64",IF(E38&lt;&gt;"6",F38,IF(F38="i686","i386",F38))))&amp;"/os/Packages/"),"/pub/repos/yum/"&amp;C38&amp;"/redhat/rhel-"&amp;E38&amp;IF(E38&lt;&gt;"8","Server","")&amp;"-"&amp;IF(E38&lt;&gt;"6",F38,IF(F38="i686","i386",F38))&amp;"/")</f>
        <v>http://mirror.kakao.com/centos/6/os/x86_64/Packages/</v>
      </c>
      <c r="C38" s="20" t="str">
        <f t="shared" si="3"/>
        <v/>
      </c>
      <c r="D38" t="s">
        <v>72</v>
      </c>
      <c r="E38" s="20" t="s">
        <v>68</v>
      </c>
      <c r="F38" t="s">
        <v>103</v>
      </c>
      <c r="G38">
        <f t="shared" si="4"/>
        <v>1</v>
      </c>
      <c r="I38" t="str">
        <f t="shared" si="5"/>
        <v>perl-libs*el6*x86_64.rpm</v>
      </c>
      <c r="J38" t="s">
        <v>161</v>
      </c>
    </row>
    <row r="39" spans="2:10" x14ac:dyDescent="0.3">
      <c r="B39" t="str">
        <f>IF(C39&lt;&gt;"","https://download.postgresql.org",[2]Main!$J$28)&amp;IF(C39="",IF(E39&lt;&gt;"8","/"&amp;E39&amp;"/os/"&amp;IF(OR(E39="8",E39="7"),"x86_64",IF(F39="noarch","x86_64",IF(E39&lt;&gt;"6",F39,IF(F39="i686","i386",F39))))&amp;"/Packages/","/"&amp;E39&amp;"/"&amp;IF(OR(AND(E39="8",LEFT(D39,6)="python"),AND(E39="8",LEFT(D39,17)="redhat-rpm-config")),"AppStream","BaseOS")&amp;"/"&amp;IF(OR(E39="8",E39="7"),"x86_64",IF(F39="noarch","x86_64",IF(E39&lt;&gt;"6",F39,IF(F39="i686","i386",F39))))&amp;"/os/Packages/"),"/pub/repos/yum/"&amp;C39&amp;"/redhat/rhel-"&amp;E39&amp;IF(E39&lt;&gt;"8","Server","")&amp;"-"&amp;IF(E39&lt;&gt;"6",F39,IF(F39="i686","i386",F39))&amp;"/")</f>
        <v>http://mirror.kakao.com/centos/6/os/x86_64/Packages/</v>
      </c>
      <c r="C39" s="20" t="str">
        <f t="shared" si="3"/>
        <v/>
      </c>
      <c r="D39" t="s">
        <v>73</v>
      </c>
      <c r="E39" s="20" t="s">
        <v>68</v>
      </c>
      <c r="F39" t="s">
        <v>103</v>
      </c>
      <c r="G39">
        <f t="shared" si="4"/>
        <v>1</v>
      </c>
      <c r="I39" t="str">
        <f t="shared" si="5"/>
        <v>perl-Module-Pluggable*el6*x86_64.rpm</v>
      </c>
      <c r="J39" t="s">
        <v>162</v>
      </c>
    </row>
    <row r="40" spans="2:10" x14ac:dyDescent="0.3">
      <c r="B40" t="str">
        <f>IF(C40&lt;&gt;"","https://download.postgresql.org",[2]Main!$J$28)&amp;IF(C40="",IF(E40&lt;&gt;"8","/"&amp;E40&amp;"/os/"&amp;IF(OR(E40="8",E40="7"),"x86_64",IF(F40="noarch","x86_64",IF(E40&lt;&gt;"6",F40,IF(F40="i686","i386",F40))))&amp;"/Packages/","/"&amp;E40&amp;"/"&amp;IF(OR(AND(E40="8",LEFT(D40,6)="python"),AND(E40="8",LEFT(D40,17)="redhat-rpm-config")),"AppStream","BaseOS")&amp;"/"&amp;IF(OR(E40="8",E40="7"),"x86_64",IF(F40="noarch","x86_64",IF(E40&lt;&gt;"6",F40,IF(F40="i686","i386",F40))))&amp;"/os/Packages/"),"/pub/repos/yum/"&amp;C40&amp;"/redhat/rhel-"&amp;E40&amp;IF(E40&lt;&gt;"8","Server","")&amp;"-"&amp;IF(E40&lt;&gt;"6",F40,IF(F40="i686","i386",F40))&amp;"/")</f>
        <v>http://mirror.kakao.com/centos/6/os/x86_64/Packages/</v>
      </c>
      <c r="C40" s="20" t="str">
        <f t="shared" si="3"/>
        <v/>
      </c>
      <c r="D40" t="s">
        <v>74</v>
      </c>
      <c r="E40" s="20" t="s">
        <v>68</v>
      </c>
      <c r="F40" t="s">
        <v>103</v>
      </c>
      <c r="G40">
        <f t="shared" si="4"/>
        <v>1</v>
      </c>
      <c r="I40" t="str">
        <f t="shared" si="5"/>
        <v>perl-Pod-Escapes*el6*x86_64.rpm</v>
      </c>
      <c r="J40" t="s">
        <v>163</v>
      </c>
    </row>
    <row r="41" spans="2:10" x14ac:dyDescent="0.3">
      <c r="B41" t="str">
        <f>IF(C41&lt;&gt;"","https://download.postgresql.org",[2]Main!$J$28)&amp;IF(C41="",IF(E41&lt;&gt;"8","/"&amp;E41&amp;"/os/"&amp;IF(OR(E41="8",E41="7"),"x86_64",IF(F41="noarch","x86_64",IF(E41&lt;&gt;"6",F41,IF(F41="i686","i386",F41))))&amp;"/Packages/","/"&amp;E41&amp;"/"&amp;IF(OR(AND(E41="8",LEFT(D41,6)="python"),AND(E41="8",LEFT(D41,17)="redhat-rpm-config")),"AppStream","BaseOS")&amp;"/"&amp;IF(OR(E41="8",E41="7"),"x86_64",IF(F41="noarch","x86_64",IF(E41&lt;&gt;"6",F41,IF(F41="i686","i386",F41))))&amp;"/os/Packages/"),"/pub/repos/yum/"&amp;C41&amp;"/redhat/rhel-"&amp;E41&amp;IF(E41&lt;&gt;"8","Server","")&amp;"-"&amp;IF(E41&lt;&gt;"6",F41,IF(F41="i686","i386",F41))&amp;"/")</f>
        <v>http://mirror.kakao.com/centos/6/os/x86_64/Packages/</v>
      </c>
      <c r="C41" s="20" t="str">
        <f t="shared" si="3"/>
        <v/>
      </c>
      <c r="D41" t="s">
        <v>75</v>
      </c>
      <c r="E41" s="20" t="s">
        <v>68</v>
      </c>
      <c r="F41" t="s">
        <v>103</v>
      </c>
      <c r="G41">
        <f t="shared" si="4"/>
        <v>1</v>
      </c>
      <c r="I41" t="str">
        <f t="shared" si="5"/>
        <v>perl-Pod-Simple*el6*x86_64.rpm</v>
      </c>
      <c r="J41" t="s">
        <v>164</v>
      </c>
    </row>
    <row r="42" spans="2:10" x14ac:dyDescent="0.3">
      <c r="B42" t="str">
        <f>IF(C42&lt;&gt;"","https://download.postgresql.org",[2]Main!$J$28)&amp;IF(C42="",IF(E42&lt;&gt;"8","/"&amp;E42&amp;"/os/"&amp;IF(OR(E42="8",E42="7"),"x86_64",IF(F42="noarch","x86_64",IF(E42&lt;&gt;"6",F42,IF(F42="i686","i386",F42))))&amp;"/Packages/","/"&amp;E42&amp;"/"&amp;IF(OR(AND(E42="8",LEFT(D42,6)="python"),AND(E42="8",LEFT(D42,17)="redhat-rpm-config")),"AppStream","BaseOS")&amp;"/"&amp;IF(OR(E42="8",E42="7"),"x86_64",IF(F42="noarch","x86_64",IF(E42&lt;&gt;"6",F42,IF(F42="i686","i386",F42))))&amp;"/os/Packages/"),"/pub/repos/yum/"&amp;C42&amp;"/redhat/rhel-"&amp;E42&amp;IF(E42&lt;&gt;"8","Server","")&amp;"-"&amp;IF(E42&lt;&gt;"6",F42,IF(F42="i686","i386",F42))&amp;"/")</f>
        <v>http://mirror.kakao.com/centos/6/os/x86_64/Packages/</v>
      </c>
      <c r="C42" s="20" t="str">
        <f t="shared" si="3"/>
        <v/>
      </c>
      <c r="D42" t="s">
        <v>76</v>
      </c>
      <c r="E42" s="20" t="s">
        <v>68</v>
      </c>
      <c r="F42" t="s">
        <v>103</v>
      </c>
      <c r="G42">
        <f t="shared" si="4"/>
        <v>0</v>
      </c>
      <c r="I42" t="str">
        <f t="shared" si="5"/>
        <v>perl-version*el6*x86_64.rpm</v>
      </c>
      <c r="J42" t="s">
        <v>165</v>
      </c>
    </row>
    <row r="43" spans="2:10" x14ac:dyDescent="0.3">
      <c r="B43" t="str">
        <f>IF(C43&lt;&gt;"","https://download.postgresql.org",[2]Main!$J$28)&amp;IF(C43="",IF(E43&lt;&gt;"8","/"&amp;E43&amp;"/os/"&amp;IF(OR(E43="8",E43="7"),"x86_64",IF(F43="noarch","x86_64",IF(E43&lt;&gt;"6",F43,IF(F43="i686","i386",F43))))&amp;"/Packages/","/"&amp;E43&amp;"/"&amp;IF(OR(AND(E43="8",LEFT(D43,6)="python"),AND(E43="8",LEFT(D43,17)="redhat-rpm-config")),"AppStream","BaseOS")&amp;"/"&amp;IF(OR(E43="8",E43="7"),"x86_64",IF(F43="noarch","x86_64",IF(E43&lt;&gt;"6",F43,IF(F43="i686","i386",F43))))&amp;"/os/Packages/"),"/pub/repos/yum/"&amp;C43&amp;"/redhat/rhel-"&amp;E43&amp;IF(E43&lt;&gt;"8","Server","")&amp;"-"&amp;IF(E43&lt;&gt;"6",F43,IF(F43="i686","i386",F43))&amp;"/")</f>
        <v>https://download.postgresql.org/pub/repos/yum/10/redhat/rhel-6Server-x86_64/</v>
      </c>
      <c r="C43" s="20" t="str">
        <f t="shared" si="3"/>
        <v>10</v>
      </c>
      <c r="D43" t="s">
        <v>77</v>
      </c>
      <c r="E43" s="20" t="s">
        <v>68</v>
      </c>
      <c r="F43" t="s">
        <v>103</v>
      </c>
      <c r="G43">
        <f t="shared" si="4"/>
        <v>1</v>
      </c>
      <c r="I43" t="str">
        <f t="shared" si="5"/>
        <v>postgresql10*rhel6*x86_64.rpm</v>
      </c>
      <c r="J43" t="s">
        <v>255</v>
      </c>
    </row>
    <row r="44" spans="2:10" x14ac:dyDescent="0.3">
      <c r="B44" t="str">
        <f>IF(C44&lt;&gt;"","https://download.postgresql.org",[2]Main!$J$28)&amp;IF(C44="",IF(E44&lt;&gt;"8","/"&amp;E44&amp;"/os/"&amp;IF(OR(E44="8",E44="7"),"x86_64",IF(F44="noarch","x86_64",IF(E44&lt;&gt;"6",F44,IF(F44="i686","i386",F44))))&amp;"/Packages/","/"&amp;E44&amp;"/"&amp;IF(OR(AND(E44="8",LEFT(D44,6)="python"),AND(E44="8",LEFT(D44,17)="redhat-rpm-config")),"AppStream","BaseOS")&amp;"/"&amp;IF(OR(E44="8",E44="7"),"x86_64",IF(F44="noarch","x86_64",IF(E44&lt;&gt;"6",F44,IF(F44="i686","i386",F44))))&amp;"/os/Packages/"),"/pub/repos/yum/"&amp;C44&amp;"/redhat/rhel-"&amp;E44&amp;IF(E44&lt;&gt;"8","Server","")&amp;"-"&amp;IF(E44&lt;&gt;"6",F44,IF(F44="i686","i386",F44))&amp;"/")</f>
        <v>https://download.postgresql.org/pub/repos/yum/10/redhat/rhel-6Server-x86_64/</v>
      </c>
      <c r="C44" s="20" t="str">
        <f t="shared" si="3"/>
        <v>10</v>
      </c>
      <c r="D44" t="s">
        <v>78</v>
      </c>
      <c r="E44" s="20" t="s">
        <v>68</v>
      </c>
      <c r="F44" t="s">
        <v>103</v>
      </c>
      <c r="G44">
        <f t="shared" si="4"/>
        <v>1</v>
      </c>
      <c r="I44" t="str">
        <f t="shared" si="5"/>
        <v>postgresql10-contrib*rhel6*x86_64.rpm</v>
      </c>
      <c r="J44" t="s">
        <v>166</v>
      </c>
    </row>
    <row r="45" spans="2:10" x14ac:dyDescent="0.3">
      <c r="B45" t="str">
        <f>IF(C45&lt;&gt;"","https://download.postgresql.org",[2]Main!$J$28)&amp;IF(C45="",IF(E45&lt;&gt;"8","/"&amp;E45&amp;"/os/"&amp;IF(OR(E45="8",E45="7"),"x86_64",IF(F45="noarch","x86_64",IF(E45&lt;&gt;"6",F45,IF(F45="i686","i386",F45))))&amp;"/Packages/","/"&amp;E45&amp;"/"&amp;IF(OR(AND(E45="8",LEFT(D45,6)="python"),AND(E45="8",LEFT(D45,17)="redhat-rpm-config")),"AppStream","BaseOS")&amp;"/"&amp;IF(OR(E45="8",E45="7"),"x86_64",IF(F45="noarch","x86_64",IF(E45&lt;&gt;"6",F45,IF(F45="i686","i386",F45))))&amp;"/os/Packages/"),"/pub/repos/yum/"&amp;C45&amp;"/redhat/rhel-"&amp;E45&amp;IF(E45&lt;&gt;"8","Server","")&amp;"-"&amp;IF(E45&lt;&gt;"6",F45,IF(F45="i686","i386",F45))&amp;"/")</f>
        <v>https://download.postgresql.org/pub/repos/yum/10/redhat/rhel-6Server-x86_64/</v>
      </c>
      <c r="C45" s="20" t="str">
        <f t="shared" si="3"/>
        <v>10</v>
      </c>
      <c r="D45" t="s">
        <v>79</v>
      </c>
      <c r="E45" s="20" t="s">
        <v>68</v>
      </c>
      <c r="F45" t="s">
        <v>103</v>
      </c>
      <c r="G45">
        <f t="shared" si="4"/>
        <v>1</v>
      </c>
      <c r="I45" t="str">
        <f t="shared" si="5"/>
        <v>postgresql10-libs*rhel6*x86_64.rpm</v>
      </c>
      <c r="J45" t="s">
        <v>167</v>
      </c>
    </row>
    <row r="46" spans="2:10" x14ac:dyDescent="0.3">
      <c r="B46" t="str">
        <f>IF(C46&lt;&gt;"","https://download.postgresql.org",[2]Main!$J$28)&amp;IF(C46="",IF(E46&lt;&gt;"8","/"&amp;E46&amp;"/os/"&amp;IF(OR(E46="8",E46="7"),"x86_64",IF(F46="noarch","x86_64",IF(E46&lt;&gt;"6",F46,IF(F46="i686","i386",F46))))&amp;"/Packages/","/"&amp;E46&amp;"/"&amp;IF(OR(AND(E46="8",LEFT(D46,6)="python"),AND(E46="8",LEFT(D46,17)="redhat-rpm-config")),"AppStream","BaseOS")&amp;"/"&amp;IF(OR(E46="8",E46="7"),"x86_64",IF(F46="noarch","x86_64",IF(E46&lt;&gt;"6",F46,IF(F46="i686","i386",F46))))&amp;"/os/Packages/"),"/pub/repos/yum/"&amp;C46&amp;"/redhat/rhel-"&amp;E46&amp;IF(E46&lt;&gt;"8","Server","")&amp;"-"&amp;IF(E46&lt;&gt;"6",F46,IF(F46="i686","i386",F46))&amp;"/")</f>
        <v>https://download.postgresql.org/pub/repos/yum/10/redhat/rhel-6Server-x86_64/</v>
      </c>
      <c r="C46" s="20" t="str">
        <f t="shared" si="3"/>
        <v>10</v>
      </c>
      <c r="D46" t="s">
        <v>80</v>
      </c>
      <c r="E46" s="20" t="s">
        <v>68</v>
      </c>
      <c r="F46" t="s">
        <v>103</v>
      </c>
      <c r="G46">
        <f t="shared" si="4"/>
        <v>0</v>
      </c>
      <c r="I46" t="str">
        <f t="shared" si="5"/>
        <v>postgresql10-server*rhel6*x86_64.rpm</v>
      </c>
      <c r="J46" t="s">
        <v>168</v>
      </c>
    </row>
    <row r="47" spans="2:10" x14ac:dyDescent="0.3">
      <c r="B47" t="str">
        <f>IF(C47&lt;&gt;"","https://download.postgresql.org",[2]Main!$J$28)&amp;IF(C47="",IF(E47&lt;&gt;"8","/"&amp;E47&amp;"/os/"&amp;IF(OR(E47="8",E47="7"),"x86_64",IF(F47="noarch","x86_64",IF(E47&lt;&gt;"6",F47,IF(F47="i686","i386",F47))))&amp;"/Packages/","/"&amp;E47&amp;"/"&amp;IF(OR(AND(E47="8",LEFT(D47,6)="python"),AND(E47="8",LEFT(D47,17)="redhat-rpm-config")),"AppStream","BaseOS")&amp;"/"&amp;IF(OR(E47="8",E47="7"),"x86_64",IF(F47="noarch","x86_64",IF(E47&lt;&gt;"6",F47,IF(F47="i686","i386",F47))))&amp;"/os/Packages/"),"/pub/repos/yum/"&amp;C47&amp;"/redhat/rhel-"&amp;E47&amp;IF(E47&lt;&gt;"8","Server","")&amp;"-"&amp;IF(E47&lt;&gt;"6",F47,IF(F47="i686","i386",F47))&amp;"/")</f>
        <v>https://download.postgresql.org/pub/repos/yum/11/redhat/rhel-6Server-x86_64/</v>
      </c>
      <c r="C47" s="20" t="str">
        <f t="shared" si="3"/>
        <v>11</v>
      </c>
      <c r="D47" t="s">
        <v>81</v>
      </c>
      <c r="E47" s="20" t="s">
        <v>68</v>
      </c>
      <c r="F47" t="s">
        <v>103</v>
      </c>
      <c r="G47">
        <f t="shared" si="4"/>
        <v>1</v>
      </c>
      <c r="I47" t="str">
        <f t="shared" si="5"/>
        <v>postgresql11*rhel6*x86_64.rpm</v>
      </c>
      <c r="J47" t="s">
        <v>256</v>
      </c>
    </row>
    <row r="48" spans="2:10" x14ac:dyDescent="0.3">
      <c r="B48" t="str">
        <f>IF(C48&lt;&gt;"","https://download.postgresql.org",[2]Main!$J$28)&amp;IF(C48="",IF(E48&lt;&gt;"8","/"&amp;E48&amp;"/os/"&amp;IF(OR(E48="8",E48="7"),"x86_64",IF(F48="noarch","x86_64",IF(E48&lt;&gt;"6",F48,IF(F48="i686","i386",F48))))&amp;"/Packages/","/"&amp;E48&amp;"/"&amp;IF(OR(AND(E48="8",LEFT(D48,6)="python"),AND(E48="8",LEFT(D48,17)="redhat-rpm-config")),"AppStream","BaseOS")&amp;"/"&amp;IF(OR(E48="8",E48="7"),"x86_64",IF(F48="noarch","x86_64",IF(E48&lt;&gt;"6",F48,IF(F48="i686","i386",F48))))&amp;"/os/Packages/"),"/pub/repos/yum/"&amp;C48&amp;"/redhat/rhel-"&amp;E48&amp;IF(E48&lt;&gt;"8","Server","")&amp;"-"&amp;IF(E48&lt;&gt;"6",F48,IF(F48="i686","i386",F48))&amp;"/")</f>
        <v>https://download.postgresql.org/pub/repos/yum/11/redhat/rhel-6Server-x86_64/</v>
      </c>
      <c r="C48" s="20" t="str">
        <f t="shared" si="3"/>
        <v>11</v>
      </c>
      <c r="D48" t="s">
        <v>82</v>
      </c>
      <c r="E48" s="20" t="s">
        <v>68</v>
      </c>
      <c r="F48" t="s">
        <v>103</v>
      </c>
      <c r="G48">
        <f t="shared" si="4"/>
        <v>1</v>
      </c>
      <c r="I48" t="str">
        <f t="shared" si="5"/>
        <v>postgresql11-contrib*rhel6*x86_64.rpm</v>
      </c>
      <c r="J48" t="s">
        <v>169</v>
      </c>
    </row>
    <row r="49" spans="2:10" x14ac:dyDescent="0.3">
      <c r="B49" t="str">
        <f>IF(C49&lt;&gt;"","https://download.postgresql.org",[2]Main!$J$28)&amp;IF(C49="",IF(E49&lt;&gt;"8","/"&amp;E49&amp;"/os/"&amp;IF(OR(E49="8",E49="7"),"x86_64",IF(F49="noarch","x86_64",IF(E49&lt;&gt;"6",F49,IF(F49="i686","i386",F49))))&amp;"/Packages/","/"&amp;E49&amp;"/"&amp;IF(OR(AND(E49="8",LEFT(D49,6)="python"),AND(E49="8",LEFT(D49,17)="redhat-rpm-config")),"AppStream","BaseOS")&amp;"/"&amp;IF(OR(E49="8",E49="7"),"x86_64",IF(F49="noarch","x86_64",IF(E49&lt;&gt;"6",F49,IF(F49="i686","i386",F49))))&amp;"/os/Packages/"),"/pub/repos/yum/"&amp;C49&amp;"/redhat/rhel-"&amp;E49&amp;IF(E49&lt;&gt;"8","Server","")&amp;"-"&amp;IF(E49&lt;&gt;"6",F49,IF(F49="i686","i386",F49))&amp;"/")</f>
        <v>https://download.postgresql.org/pub/repos/yum/11/redhat/rhel-6Server-x86_64/</v>
      </c>
      <c r="C49" s="20" t="str">
        <f t="shared" si="3"/>
        <v>11</v>
      </c>
      <c r="D49" t="s">
        <v>83</v>
      </c>
      <c r="E49" s="20" t="s">
        <v>68</v>
      </c>
      <c r="F49" t="s">
        <v>103</v>
      </c>
      <c r="G49">
        <f t="shared" si="4"/>
        <v>1</v>
      </c>
      <c r="I49" t="str">
        <f t="shared" si="5"/>
        <v>postgresql11-libs*rhel6*x86_64.rpm</v>
      </c>
      <c r="J49" t="s">
        <v>170</v>
      </c>
    </row>
    <row r="50" spans="2:10" x14ac:dyDescent="0.3">
      <c r="B50" t="str">
        <f>IF(C50&lt;&gt;"","https://download.postgresql.org",[2]Main!$J$28)&amp;IF(C50="",IF(E50&lt;&gt;"8","/"&amp;E50&amp;"/os/"&amp;IF(OR(E50="8",E50="7"),"x86_64",IF(F50="noarch","x86_64",IF(E50&lt;&gt;"6",F50,IF(F50="i686","i386",F50))))&amp;"/Packages/","/"&amp;E50&amp;"/"&amp;IF(OR(AND(E50="8",LEFT(D50,6)="python"),AND(E50="8",LEFT(D50,17)="redhat-rpm-config")),"AppStream","BaseOS")&amp;"/"&amp;IF(OR(E50="8",E50="7"),"x86_64",IF(F50="noarch","x86_64",IF(E50&lt;&gt;"6",F50,IF(F50="i686","i386",F50))))&amp;"/os/Packages/"),"/pub/repos/yum/"&amp;C50&amp;"/redhat/rhel-"&amp;E50&amp;IF(E50&lt;&gt;"8","Server","")&amp;"-"&amp;IF(E50&lt;&gt;"6",F50,IF(F50="i686","i386",F50))&amp;"/")</f>
        <v>https://download.postgresql.org/pub/repos/yum/11/redhat/rhel-6Server-x86_64/</v>
      </c>
      <c r="C50" s="20" t="str">
        <f t="shared" si="3"/>
        <v>11</v>
      </c>
      <c r="D50" t="s">
        <v>84</v>
      </c>
      <c r="E50" s="20" t="s">
        <v>68</v>
      </c>
      <c r="F50" t="s">
        <v>103</v>
      </c>
      <c r="G50">
        <f t="shared" si="4"/>
        <v>0</v>
      </c>
      <c r="I50" t="str">
        <f t="shared" si="5"/>
        <v>postgresql11-server*rhel6*x86_64.rpm</v>
      </c>
      <c r="J50" t="s">
        <v>171</v>
      </c>
    </row>
    <row r="51" spans="2:10" x14ac:dyDescent="0.3">
      <c r="B51" t="str">
        <f>IF(C51&lt;&gt;"","https://download.postgresql.org",[2]Main!$J$28)&amp;IF(C51="",IF(E51&lt;&gt;"8","/"&amp;E51&amp;"/os/"&amp;IF(OR(E51="8",E51="7"),"x86_64",IF(F51="noarch","x86_64",IF(E51&lt;&gt;"6",F51,IF(F51="i686","i386",F51))))&amp;"/Packages/","/"&amp;E51&amp;"/"&amp;IF(OR(AND(E51="8",LEFT(D51,6)="python"),AND(E51="8",LEFT(D51,17)="redhat-rpm-config")),"AppStream","BaseOS")&amp;"/"&amp;IF(OR(E51="8",E51="7"),"x86_64",IF(F51="noarch","x86_64",IF(E51&lt;&gt;"6",F51,IF(F51="i686","i386",F51))))&amp;"/os/Packages/"),"/pub/repos/yum/"&amp;C51&amp;"/redhat/rhel-"&amp;E51&amp;IF(E51&lt;&gt;"8","Server","")&amp;"-"&amp;IF(E51&lt;&gt;"6",F51,IF(F51="i686","i386",F51))&amp;"/")</f>
        <v>https://download.postgresql.org/pub/repos/yum/12/redhat/rhel-6Server-x86_64/</v>
      </c>
      <c r="C51" s="20" t="str">
        <f t="shared" si="3"/>
        <v>12</v>
      </c>
      <c r="D51" t="s">
        <v>85</v>
      </c>
      <c r="E51" s="20" t="s">
        <v>68</v>
      </c>
      <c r="F51" t="s">
        <v>103</v>
      </c>
      <c r="G51">
        <f t="shared" si="4"/>
        <v>1</v>
      </c>
      <c r="I51" t="str">
        <f t="shared" si="5"/>
        <v>postgresql12*rhel6*x86_64.rpm</v>
      </c>
      <c r="J51" t="s">
        <v>312</v>
      </c>
    </row>
    <row r="52" spans="2:10" x14ac:dyDescent="0.3">
      <c r="B52" t="str">
        <f>IF(C52&lt;&gt;"","https://download.postgresql.org",[2]Main!$J$28)&amp;IF(C52="",IF(E52&lt;&gt;"8","/"&amp;E52&amp;"/os/"&amp;IF(OR(E52="8",E52="7"),"x86_64",IF(F52="noarch","x86_64",IF(E52&lt;&gt;"6",F52,IF(F52="i686","i386",F52))))&amp;"/Packages/","/"&amp;E52&amp;"/"&amp;IF(OR(AND(E52="8",LEFT(D52,6)="python"),AND(E52="8",LEFT(D52,17)="redhat-rpm-config")),"AppStream","BaseOS")&amp;"/"&amp;IF(OR(E52="8",E52="7"),"x86_64",IF(F52="noarch","x86_64",IF(E52&lt;&gt;"6",F52,IF(F52="i686","i386",F52))))&amp;"/os/Packages/"),"/pub/repos/yum/"&amp;C52&amp;"/redhat/rhel-"&amp;E52&amp;IF(E52&lt;&gt;"8","Server","")&amp;"-"&amp;IF(E52&lt;&gt;"6",F52,IF(F52="i686","i386",F52))&amp;"/")</f>
        <v>https://download.postgresql.org/pub/repos/yum/12/redhat/rhel-6Server-x86_64/</v>
      </c>
      <c r="C52" s="20" t="str">
        <f t="shared" si="3"/>
        <v>12</v>
      </c>
      <c r="D52" t="s">
        <v>86</v>
      </c>
      <c r="E52" s="20" t="s">
        <v>68</v>
      </c>
      <c r="F52" t="s">
        <v>103</v>
      </c>
      <c r="G52">
        <f t="shared" si="4"/>
        <v>1</v>
      </c>
      <c r="I52" t="str">
        <f t="shared" si="5"/>
        <v>postgresql12-contrib*rhel6*x86_64.rpm</v>
      </c>
      <c r="J52" t="s">
        <v>313</v>
      </c>
    </row>
    <row r="53" spans="2:10" x14ac:dyDescent="0.3">
      <c r="B53" t="str">
        <f>IF(C53&lt;&gt;"","https://download.postgresql.org",[2]Main!$J$28)&amp;IF(C53="",IF(E53&lt;&gt;"8","/"&amp;E53&amp;"/os/"&amp;IF(OR(E53="8",E53="7"),"x86_64",IF(F53="noarch","x86_64",IF(E53&lt;&gt;"6",F53,IF(F53="i686","i386",F53))))&amp;"/Packages/","/"&amp;E53&amp;"/"&amp;IF(OR(AND(E53="8",LEFT(D53,6)="python"),AND(E53="8",LEFT(D53,17)="redhat-rpm-config")),"AppStream","BaseOS")&amp;"/"&amp;IF(OR(E53="8",E53="7"),"x86_64",IF(F53="noarch","x86_64",IF(E53&lt;&gt;"6",F53,IF(F53="i686","i386",F53))))&amp;"/os/Packages/"),"/pub/repos/yum/"&amp;C53&amp;"/redhat/rhel-"&amp;E53&amp;IF(E53&lt;&gt;"8","Server","")&amp;"-"&amp;IF(E53&lt;&gt;"6",F53,IF(F53="i686","i386",F53))&amp;"/")</f>
        <v>https://download.postgresql.org/pub/repos/yum/12/redhat/rhel-6Server-x86_64/</v>
      </c>
      <c r="C53" s="20" t="str">
        <f t="shared" si="3"/>
        <v>12</v>
      </c>
      <c r="D53" t="s">
        <v>87</v>
      </c>
      <c r="E53" s="20" t="s">
        <v>68</v>
      </c>
      <c r="F53" t="s">
        <v>103</v>
      </c>
      <c r="G53">
        <f t="shared" si="4"/>
        <v>1</v>
      </c>
      <c r="I53" t="str">
        <f t="shared" si="5"/>
        <v>postgresql12-libs*rhel6*x86_64.rpm</v>
      </c>
      <c r="J53" t="s">
        <v>314</v>
      </c>
    </row>
    <row r="54" spans="2:10" x14ac:dyDescent="0.3">
      <c r="B54" t="str">
        <f>IF(C54&lt;&gt;"","https://download.postgresql.org",[2]Main!$J$28)&amp;IF(C54="",IF(E54&lt;&gt;"8","/"&amp;E54&amp;"/os/"&amp;IF(OR(E54="8",E54="7"),"x86_64",IF(F54="noarch","x86_64",IF(E54&lt;&gt;"6",F54,IF(F54="i686","i386",F54))))&amp;"/Packages/","/"&amp;E54&amp;"/"&amp;IF(OR(AND(E54="8",LEFT(D54,6)="python"),AND(E54="8",LEFT(D54,17)="redhat-rpm-config")),"AppStream","BaseOS")&amp;"/"&amp;IF(OR(E54="8",E54="7"),"x86_64",IF(F54="noarch","x86_64",IF(E54&lt;&gt;"6",F54,IF(F54="i686","i386",F54))))&amp;"/os/Packages/"),"/pub/repos/yum/"&amp;C54&amp;"/redhat/rhel-"&amp;E54&amp;IF(E54&lt;&gt;"8","Server","")&amp;"-"&amp;IF(E54&lt;&gt;"6",F54,IF(F54="i686","i386",F54))&amp;"/")</f>
        <v>https://download.postgresql.org/pub/repos/yum/12/redhat/rhel-6Server-x86_64/</v>
      </c>
      <c r="C54" s="20" t="str">
        <f t="shared" si="3"/>
        <v>12</v>
      </c>
      <c r="D54" t="s">
        <v>88</v>
      </c>
      <c r="E54" s="20" t="s">
        <v>68</v>
      </c>
      <c r="F54" t="s">
        <v>103</v>
      </c>
      <c r="G54">
        <f t="shared" si="4"/>
        <v>0</v>
      </c>
      <c r="I54" t="str">
        <f t="shared" si="5"/>
        <v>postgresql12-server*rhel6*x86_64.rpm</v>
      </c>
      <c r="J54" t="s">
        <v>315</v>
      </c>
    </row>
    <row r="55" spans="2:10" x14ac:dyDescent="0.3">
      <c r="B55" t="str">
        <f>IF(C55&lt;&gt;"","https://download.postgresql.org",[2]Main!$J$28)&amp;IF(C55="",IF(E55&lt;&gt;"8","/"&amp;E55&amp;"/os/"&amp;IF(OR(E55="8",E55="7"),"x86_64",IF(F55="noarch","x86_64",IF(E55&lt;&gt;"6",F55,IF(F55="i686","i386",F55))))&amp;"/Packages/","/"&amp;E55&amp;"/"&amp;IF(OR(AND(E55="8",LEFT(D55,6)="python"),AND(E55="8",LEFT(D55,17)="redhat-rpm-config")),"AppStream","BaseOS")&amp;"/"&amp;IF(OR(E55="8",E55="7"),"x86_64",IF(F55="noarch","x86_64",IF(E55&lt;&gt;"6",F55,IF(F55="i686","i386",F55))))&amp;"/os/Packages/"),"/pub/repos/yum/"&amp;C55&amp;"/redhat/rhel-"&amp;E55&amp;IF(E55&lt;&gt;"8","Server","")&amp;"-"&amp;IF(E55&lt;&gt;"6",F55,IF(F55="i686","i386",F55))&amp;"/")</f>
        <v>https://download.postgresql.org/pub/repos/yum/9.4/redhat/rhel-6Server-x86_64/</v>
      </c>
      <c r="C55" s="20">
        <f t="shared" si="3"/>
        <v>9.4</v>
      </c>
      <c r="D55" t="s">
        <v>89</v>
      </c>
      <c r="E55" s="20" t="s">
        <v>68</v>
      </c>
      <c r="F55" t="s">
        <v>103</v>
      </c>
      <c r="G55">
        <f t="shared" si="4"/>
        <v>1</v>
      </c>
      <c r="I55" t="str">
        <f t="shared" si="5"/>
        <v>postgresql94*rhel6*x86_64.rpm</v>
      </c>
      <c r="J55" t="s">
        <v>257</v>
      </c>
    </row>
    <row r="56" spans="2:10" x14ac:dyDescent="0.3">
      <c r="B56" t="str">
        <f>IF(C56&lt;&gt;"","https://download.postgresql.org",[2]Main!$J$28)&amp;IF(C56="",IF(E56&lt;&gt;"8","/"&amp;E56&amp;"/os/"&amp;IF(OR(E56="8",E56="7"),"x86_64",IF(F56="noarch","x86_64",IF(E56&lt;&gt;"6",F56,IF(F56="i686","i386",F56))))&amp;"/Packages/","/"&amp;E56&amp;"/"&amp;IF(OR(AND(E56="8",LEFT(D56,6)="python"),AND(E56="8",LEFT(D56,17)="redhat-rpm-config")),"AppStream","BaseOS")&amp;"/"&amp;IF(OR(E56="8",E56="7"),"x86_64",IF(F56="noarch","x86_64",IF(E56&lt;&gt;"6",F56,IF(F56="i686","i386",F56))))&amp;"/os/Packages/"),"/pub/repos/yum/"&amp;C56&amp;"/redhat/rhel-"&amp;E56&amp;IF(E56&lt;&gt;"8","Server","")&amp;"-"&amp;IF(E56&lt;&gt;"6",F56,IF(F56="i686","i386",F56))&amp;"/")</f>
        <v>https://download.postgresql.org/pub/repos/yum/9.4/redhat/rhel-6Server-x86_64/</v>
      </c>
      <c r="C56" s="20">
        <f t="shared" si="3"/>
        <v>9.4</v>
      </c>
      <c r="D56" t="s">
        <v>90</v>
      </c>
      <c r="E56" s="20" t="s">
        <v>68</v>
      </c>
      <c r="F56" t="s">
        <v>103</v>
      </c>
      <c r="G56">
        <f t="shared" si="4"/>
        <v>1</v>
      </c>
      <c r="I56" t="str">
        <f t="shared" si="5"/>
        <v>postgresql94-contrib*rhel6*x86_64.rpm</v>
      </c>
      <c r="J56" t="s">
        <v>172</v>
      </c>
    </row>
    <row r="57" spans="2:10" x14ac:dyDescent="0.3">
      <c r="B57" t="str">
        <f>IF(C57&lt;&gt;"","https://download.postgresql.org",[2]Main!$J$28)&amp;IF(C57="",IF(E57&lt;&gt;"8","/"&amp;E57&amp;"/os/"&amp;IF(OR(E57="8",E57="7"),"x86_64",IF(F57="noarch","x86_64",IF(E57&lt;&gt;"6",F57,IF(F57="i686","i386",F57))))&amp;"/Packages/","/"&amp;E57&amp;"/"&amp;IF(OR(AND(E57="8",LEFT(D57,6)="python"),AND(E57="8",LEFT(D57,17)="redhat-rpm-config")),"AppStream","BaseOS")&amp;"/"&amp;IF(OR(E57="8",E57="7"),"x86_64",IF(F57="noarch","x86_64",IF(E57&lt;&gt;"6",F57,IF(F57="i686","i386",F57))))&amp;"/os/Packages/"),"/pub/repos/yum/"&amp;C57&amp;"/redhat/rhel-"&amp;E57&amp;IF(E57&lt;&gt;"8","Server","")&amp;"-"&amp;IF(E57&lt;&gt;"6",F57,IF(F57="i686","i386",F57))&amp;"/")</f>
        <v>https://download.postgresql.org/pub/repos/yum/9.4/redhat/rhel-6Server-x86_64/</v>
      </c>
      <c r="C57" s="20">
        <f t="shared" si="3"/>
        <v>9.4</v>
      </c>
      <c r="D57" t="s">
        <v>91</v>
      </c>
      <c r="E57" s="20" t="s">
        <v>68</v>
      </c>
      <c r="F57" t="s">
        <v>103</v>
      </c>
      <c r="G57">
        <f t="shared" si="4"/>
        <v>1</v>
      </c>
      <c r="I57" t="str">
        <f t="shared" si="5"/>
        <v>postgresql94-libs*rhel6*x86_64.rpm</v>
      </c>
      <c r="J57" t="s">
        <v>173</v>
      </c>
    </row>
    <row r="58" spans="2:10" x14ac:dyDescent="0.3">
      <c r="B58" t="str">
        <f>IF(C58&lt;&gt;"","https://download.postgresql.org",[2]Main!$J$28)&amp;IF(C58="",IF(E58&lt;&gt;"8","/"&amp;E58&amp;"/os/"&amp;IF(OR(E58="8",E58="7"),"x86_64",IF(F58="noarch","x86_64",IF(E58&lt;&gt;"6",F58,IF(F58="i686","i386",F58))))&amp;"/Packages/","/"&amp;E58&amp;"/"&amp;IF(OR(AND(E58="8",LEFT(D58,6)="python"),AND(E58="8",LEFT(D58,17)="redhat-rpm-config")),"AppStream","BaseOS")&amp;"/"&amp;IF(OR(E58="8",E58="7"),"x86_64",IF(F58="noarch","x86_64",IF(E58&lt;&gt;"6",F58,IF(F58="i686","i386",F58))))&amp;"/os/Packages/"),"/pub/repos/yum/"&amp;C58&amp;"/redhat/rhel-"&amp;E58&amp;IF(E58&lt;&gt;"8","Server","")&amp;"-"&amp;IF(E58&lt;&gt;"6",F58,IF(F58="i686","i386",F58))&amp;"/")</f>
        <v>https://download.postgresql.org/pub/repos/yum/9.4/redhat/rhel-6Server-x86_64/</v>
      </c>
      <c r="C58" s="20">
        <f t="shared" si="3"/>
        <v>9.4</v>
      </c>
      <c r="D58" t="s">
        <v>92</v>
      </c>
      <c r="E58" s="20" t="s">
        <v>68</v>
      </c>
      <c r="F58" t="s">
        <v>103</v>
      </c>
      <c r="G58">
        <f t="shared" si="4"/>
        <v>0</v>
      </c>
      <c r="I58" t="str">
        <f t="shared" si="5"/>
        <v>postgresql94-server*rhel6*x86_64.rpm</v>
      </c>
      <c r="J58" t="s">
        <v>174</v>
      </c>
    </row>
    <row r="59" spans="2:10" x14ac:dyDescent="0.3">
      <c r="B59" t="str">
        <f>IF(C59&lt;&gt;"","https://download.postgresql.org",[2]Main!$J$28)&amp;IF(C59="",IF(E59&lt;&gt;"8","/"&amp;E59&amp;"/os/"&amp;IF(OR(E59="8",E59="7"),"x86_64",IF(F59="noarch","x86_64",IF(E59&lt;&gt;"6",F59,IF(F59="i686","i386",F59))))&amp;"/Packages/","/"&amp;E59&amp;"/"&amp;IF(OR(AND(E59="8",LEFT(D59,6)="python"),AND(E59="8",LEFT(D59,17)="redhat-rpm-config")),"AppStream","BaseOS")&amp;"/"&amp;IF(OR(E59="8",E59="7"),"x86_64",IF(F59="noarch","x86_64",IF(E59&lt;&gt;"6",F59,IF(F59="i686","i386",F59))))&amp;"/os/Packages/"),"/pub/repos/yum/"&amp;C59&amp;"/redhat/rhel-"&amp;E59&amp;IF(E59&lt;&gt;"8","Server","")&amp;"-"&amp;IF(E59&lt;&gt;"6",F59,IF(F59="i686","i386",F59))&amp;"/")</f>
        <v>https://download.postgresql.org/pub/repos/yum/9.5/redhat/rhel-6Server-x86_64/</v>
      </c>
      <c r="C59" s="20">
        <f t="shared" si="3"/>
        <v>9.5</v>
      </c>
      <c r="D59" t="s">
        <v>93</v>
      </c>
      <c r="E59" s="20" t="s">
        <v>68</v>
      </c>
      <c r="F59" t="s">
        <v>103</v>
      </c>
      <c r="G59">
        <f t="shared" si="4"/>
        <v>1</v>
      </c>
      <c r="I59" t="str">
        <f t="shared" si="5"/>
        <v>postgresql95*rhel6*x86_64.rpm</v>
      </c>
      <c r="J59" t="s">
        <v>258</v>
      </c>
    </row>
    <row r="60" spans="2:10" x14ac:dyDescent="0.3">
      <c r="B60" t="str">
        <f>IF(C60&lt;&gt;"","https://download.postgresql.org",[2]Main!$J$28)&amp;IF(C60="",IF(E60&lt;&gt;"8","/"&amp;E60&amp;"/os/"&amp;IF(OR(E60="8",E60="7"),"x86_64",IF(F60="noarch","x86_64",IF(E60&lt;&gt;"6",F60,IF(F60="i686","i386",F60))))&amp;"/Packages/","/"&amp;E60&amp;"/"&amp;IF(OR(AND(E60="8",LEFT(D60,6)="python"),AND(E60="8",LEFT(D60,17)="redhat-rpm-config")),"AppStream","BaseOS")&amp;"/"&amp;IF(OR(E60="8",E60="7"),"x86_64",IF(F60="noarch","x86_64",IF(E60&lt;&gt;"6",F60,IF(F60="i686","i386",F60))))&amp;"/os/Packages/"),"/pub/repos/yum/"&amp;C60&amp;"/redhat/rhel-"&amp;E60&amp;IF(E60&lt;&gt;"8","Server","")&amp;"-"&amp;IF(E60&lt;&gt;"6",F60,IF(F60="i686","i386",F60))&amp;"/")</f>
        <v>https://download.postgresql.org/pub/repos/yum/9.5/redhat/rhel-6Server-x86_64/</v>
      </c>
      <c r="C60" s="20">
        <f t="shared" si="3"/>
        <v>9.5</v>
      </c>
      <c r="D60" t="s">
        <v>94</v>
      </c>
      <c r="E60" s="20" t="s">
        <v>68</v>
      </c>
      <c r="F60" t="s">
        <v>103</v>
      </c>
      <c r="G60">
        <f t="shared" si="4"/>
        <v>1</v>
      </c>
      <c r="I60" t="str">
        <f t="shared" si="5"/>
        <v>postgresql95-contrib*rhel6*x86_64.rpm</v>
      </c>
      <c r="J60" t="s">
        <v>175</v>
      </c>
    </row>
    <row r="61" spans="2:10" x14ac:dyDescent="0.3">
      <c r="B61" t="str">
        <f>IF(C61&lt;&gt;"","https://download.postgresql.org",[2]Main!$J$28)&amp;IF(C61="",IF(E61&lt;&gt;"8","/"&amp;E61&amp;"/os/"&amp;IF(OR(E61="8",E61="7"),"x86_64",IF(F61="noarch","x86_64",IF(E61&lt;&gt;"6",F61,IF(F61="i686","i386",F61))))&amp;"/Packages/","/"&amp;E61&amp;"/"&amp;IF(OR(AND(E61="8",LEFT(D61,6)="python"),AND(E61="8",LEFT(D61,17)="redhat-rpm-config")),"AppStream","BaseOS")&amp;"/"&amp;IF(OR(E61="8",E61="7"),"x86_64",IF(F61="noarch","x86_64",IF(E61&lt;&gt;"6",F61,IF(F61="i686","i386",F61))))&amp;"/os/Packages/"),"/pub/repos/yum/"&amp;C61&amp;"/redhat/rhel-"&amp;E61&amp;IF(E61&lt;&gt;"8","Server","")&amp;"-"&amp;IF(E61&lt;&gt;"6",F61,IF(F61="i686","i386",F61))&amp;"/")</f>
        <v>https://download.postgresql.org/pub/repos/yum/9.5/redhat/rhel-6Server-x86_64/</v>
      </c>
      <c r="C61" s="20">
        <f t="shared" si="3"/>
        <v>9.5</v>
      </c>
      <c r="D61" t="s">
        <v>95</v>
      </c>
      <c r="E61" s="20" t="s">
        <v>68</v>
      </c>
      <c r="F61" t="s">
        <v>103</v>
      </c>
      <c r="G61">
        <f t="shared" si="4"/>
        <v>1</v>
      </c>
      <c r="I61" t="str">
        <f t="shared" si="5"/>
        <v>postgresql95-libs*rhel6*x86_64.rpm</v>
      </c>
      <c r="J61" t="s">
        <v>176</v>
      </c>
    </row>
    <row r="62" spans="2:10" x14ac:dyDescent="0.3">
      <c r="B62" t="str">
        <f>IF(C62&lt;&gt;"","https://download.postgresql.org",[2]Main!$J$28)&amp;IF(C62="",IF(E62&lt;&gt;"8","/"&amp;E62&amp;"/os/"&amp;IF(OR(E62="8",E62="7"),"x86_64",IF(F62="noarch","x86_64",IF(E62&lt;&gt;"6",F62,IF(F62="i686","i386",F62))))&amp;"/Packages/","/"&amp;E62&amp;"/"&amp;IF(OR(AND(E62="8",LEFT(D62,6)="python"),AND(E62="8",LEFT(D62,17)="redhat-rpm-config")),"AppStream","BaseOS")&amp;"/"&amp;IF(OR(E62="8",E62="7"),"x86_64",IF(F62="noarch","x86_64",IF(E62&lt;&gt;"6",F62,IF(F62="i686","i386",F62))))&amp;"/os/Packages/"),"/pub/repos/yum/"&amp;C62&amp;"/redhat/rhel-"&amp;E62&amp;IF(E62&lt;&gt;"8","Server","")&amp;"-"&amp;IF(E62&lt;&gt;"6",F62,IF(F62="i686","i386",F62))&amp;"/")</f>
        <v>https://download.postgresql.org/pub/repos/yum/9.5/redhat/rhel-6Server-x86_64/</v>
      </c>
      <c r="C62" s="20">
        <f t="shared" si="3"/>
        <v>9.5</v>
      </c>
      <c r="D62" t="s">
        <v>96</v>
      </c>
      <c r="E62" s="20" t="s">
        <v>68</v>
      </c>
      <c r="F62" t="s">
        <v>103</v>
      </c>
      <c r="G62">
        <f t="shared" si="4"/>
        <v>0</v>
      </c>
      <c r="I62" t="str">
        <f t="shared" si="5"/>
        <v>postgresql95-server*rhel6*x86_64.rpm</v>
      </c>
      <c r="J62" t="s">
        <v>177</v>
      </c>
    </row>
    <row r="63" spans="2:10" x14ac:dyDescent="0.3">
      <c r="B63" t="str">
        <f>IF(C63&lt;&gt;"","https://download.postgresql.org",[2]Main!$J$28)&amp;IF(C63="",IF(E63&lt;&gt;"8","/"&amp;E63&amp;"/os/"&amp;IF(OR(E63="8",E63="7"),"x86_64",IF(F63="noarch","x86_64",IF(E63&lt;&gt;"6",F63,IF(F63="i686","i386",F63))))&amp;"/Packages/","/"&amp;E63&amp;"/"&amp;IF(OR(AND(E63="8",LEFT(D63,6)="python"),AND(E63="8",LEFT(D63,17)="redhat-rpm-config")),"AppStream","BaseOS")&amp;"/"&amp;IF(OR(E63="8",E63="7"),"x86_64",IF(F63="noarch","x86_64",IF(E63&lt;&gt;"6",F63,IF(F63="i686","i386",F63))))&amp;"/os/Packages/"),"/pub/repos/yum/"&amp;C63&amp;"/redhat/rhel-"&amp;E63&amp;IF(E63&lt;&gt;"8","Server","")&amp;"-"&amp;IF(E63&lt;&gt;"6",F63,IF(F63="i686","i386",F63))&amp;"/")</f>
        <v>https://download.postgresql.org/pub/repos/yum/9.6/redhat/rhel-6Server-x86_64/</v>
      </c>
      <c r="C63" s="20">
        <f t="shared" si="3"/>
        <v>9.6</v>
      </c>
      <c r="D63" t="s">
        <v>97</v>
      </c>
      <c r="E63" s="20" t="s">
        <v>68</v>
      </c>
      <c r="F63" t="s">
        <v>103</v>
      </c>
      <c r="G63">
        <f t="shared" si="4"/>
        <v>1</v>
      </c>
      <c r="I63" t="str">
        <f t="shared" si="5"/>
        <v>postgresql96*rhel6*x86_64.rpm</v>
      </c>
      <c r="J63" t="s">
        <v>259</v>
      </c>
    </row>
    <row r="64" spans="2:10" x14ac:dyDescent="0.3">
      <c r="B64" t="str">
        <f>IF(C64&lt;&gt;"","https://download.postgresql.org",[2]Main!$J$28)&amp;IF(C64="",IF(E64&lt;&gt;"8","/"&amp;E64&amp;"/os/"&amp;IF(OR(E64="8",E64="7"),"x86_64",IF(F64="noarch","x86_64",IF(E64&lt;&gt;"6",F64,IF(F64="i686","i386",F64))))&amp;"/Packages/","/"&amp;E64&amp;"/"&amp;IF(OR(AND(E64="8",LEFT(D64,6)="python"),AND(E64="8",LEFT(D64,17)="redhat-rpm-config")),"AppStream","BaseOS")&amp;"/"&amp;IF(OR(E64="8",E64="7"),"x86_64",IF(F64="noarch","x86_64",IF(E64&lt;&gt;"6",F64,IF(F64="i686","i386",F64))))&amp;"/os/Packages/"),"/pub/repos/yum/"&amp;C64&amp;"/redhat/rhel-"&amp;E64&amp;IF(E64&lt;&gt;"8","Server","")&amp;"-"&amp;IF(E64&lt;&gt;"6",F64,IF(F64="i686","i386",F64))&amp;"/")</f>
        <v>https://download.postgresql.org/pub/repos/yum/9.6/redhat/rhel-6Server-x86_64/</v>
      </c>
      <c r="C64" s="20">
        <f t="shared" si="3"/>
        <v>9.6</v>
      </c>
      <c r="D64" t="s">
        <v>98</v>
      </c>
      <c r="E64" s="20" t="s">
        <v>68</v>
      </c>
      <c r="F64" t="s">
        <v>103</v>
      </c>
      <c r="G64">
        <f t="shared" si="4"/>
        <v>1</v>
      </c>
      <c r="I64" t="str">
        <f t="shared" si="5"/>
        <v>postgresql96-contrib*rhel6*x86_64.rpm</v>
      </c>
      <c r="J64" t="s">
        <v>178</v>
      </c>
    </row>
    <row r="65" spans="2:10" x14ac:dyDescent="0.3">
      <c r="B65" t="str">
        <f>IF(C65&lt;&gt;"","https://download.postgresql.org",[2]Main!$J$28)&amp;IF(C65="",IF(E65&lt;&gt;"8","/"&amp;E65&amp;"/os/"&amp;IF(OR(E65="8",E65="7"),"x86_64",IF(F65="noarch","x86_64",IF(E65&lt;&gt;"6",F65,IF(F65="i686","i386",F65))))&amp;"/Packages/","/"&amp;E65&amp;"/"&amp;IF(OR(AND(E65="8",LEFT(D65,6)="python"),AND(E65="8",LEFT(D65,17)="redhat-rpm-config")),"AppStream","BaseOS")&amp;"/"&amp;IF(OR(E65="8",E65="7"),"x86_64",IF(F65="noarch","x86_64",IF(E65&lt;&gt;"6",F65,IF(F65="i686","i386",F65))))&amp;"/os/Packages/"),"/pub/repos/yum/"&amp;C65&amp;"/redhat/rhel-"&amp;E65&amp;IF(E65&lt;&gt;"8","Server","")&amp;"-"&amp;IF(E65&lt;&gt;"6",F65,IF(F65="i686","i386",F65))&amp;"/")</f>
        <v>https://download.postgresql.org/pub/repos/yum/9.6/redhat/rhel-6Server-x86_64/</v>
      </c>
      <c r="C65" s="20">
        <f t="shared" si="3"/>
        <v>9.6</v>
      </c>
      <c r="D65" t="s">
        <v>99</v>
      </c>
      <c r="E65" s="20" t="s">
        <v>68</v>
      </c>
      <c r="F65" t="s">
        <v>103</v>
      </c>
      <c r="G65">
        <f t="shared" si="4"/>
        <v>1</v>
      </c>
      <c r="I65" t="str">
        <f t="shared" si="5"/>
        <v>postgresql96-libs*rhel6*x86_64.rpm</v>
      </c>
      <c r="J65" t="s">
        <v>179</v>
      </c>
    </row>
    <row r="66" spans="2:10" x14ac:dyDescent="0.3">
      <c r="B66" t="str">
        <f>IF(C66&lt;&gt;"","https://download.postgresql.org",[2]Main!$J$28)&amp;IF(C66="",IF(E66&lt;&gt;"8","/"&amp;E66&amp;"/os/"&amp;IF(OR(E66="8",E66="7"),"x86_64",IF(F66="noarch","x86_64",IF(E66&lt;&gt;"6",F66,IF(F66="i686","i386",F66))))&amp;"/Packages/","/"&amp;E66&amp;"/"&amp;IF(OR(AND(E66="8",LEFT(D66,6)="python"),AND(E66="8",LEFT(D66,17)="redhat-rpm-config")),"AppStream","BaseOS")&amp;"/"&amp;IF(OR(E66="8",E66="7"),"x86_64",IF(F66="noarch","x86_64",IF(E66&lt;&gt;"6",F66,IF(F66="i686","i386",F66))))&amp;"/os/Packages/"),"/pub/repos/yum/"&amp;C66&amp;"/redhat/rhel-"&amp;E66&amp;IF(E66&lt;&gt;"8","Server","")&amp;"-"&amp;IF(E66&lt;&gt;"6",F66,IF(F66="i686","i386",F66))&amp;"/")</f>
        <v>https://download.postgresql.org/pub/repos/yum/9.6/redhat/rhel-6Server-x86_64/</v>
      </c>
      <c r="C66" s="20">
        <f t="shared" ref="C66:C97" si="6">IF(IF(LEFT(D66,10)="postgresql",RIGHT(LEFT(D66,12),2),"")&gt;"90",IF(LEFT(D66,10)="postgresql",RIGHT(LEFT(D66,12),2),"")/10,IF(LEFT(D66,10)="postgresql",RIGHT(LEFT(D66,12),2),""))</f>
        <v>9.6</v>
      </c>
      <c r="D66" t="s">
        <v>100</v>
      </c>
      <c r="E66" s="20" t="s">
        <v>68</v>
      </c>
      <c r="F66" t="s">
        <v>103</v>
      </c>
      <c r="G66">
        <f t="shared" ref="G66:G97" si="7">IF(B66=B67,1,0)</f>
        <v>0</v>
      </c>
      <c r="I66" t="str">
        <f t="shared" ref="I66:I97" si="8">D66&amp;"*"&amp;IF(C66&lt;&gt;"","rhel","el")&amp;E66&amp;"*"&amp;F66&amp;".rpm"</f>
        <v>postgresql96-server*rhel6*x86_64.rpm</v>
      </c>
      <c r="J66" t="s">
        <v>180</v>
      </c>
    </row>
    <row r="67" spans="2:10" x14ac:dyDescent="0.3">
      <c r="B67" t="str">
        <f>IF(C67&lt;&gt;"","https://download.postgresql.org",[2]Main!$J$28)&amp;IF(C67="",IF(E67&lt;&gt;"8","/"&amp;E67&amp;"/os/"&amp;IF(OR(E67="8",E67="7"),"x86_64",IF(F67="noarch","x86_64",IF(E67&lt;&gt;"6",F67,IF(F67="i686","i386",F67))))&amp;"/Packages/","/"&amp;E67&amp;"/"&amp;IF(OR(AND(E67="8",LEFT(D67,6)="python"),AND(E67="8",LEFT(D67,17)="redhat-rpm-config")),"AppStream","BaseOS")&amp;"/"&amp;IF(OR(E67="8",E67="7"),"x86_64",IF(F67="noarch","x86_64",IF(E67&lt;&gt;"6",F67,IF(F67="i686","i386",F67))))&amp;"/os/Packages/"),"/pub/repos/yum/"&amp;C67&amp;"/redhat/rhel-"&amp;E67&amp;IF(E67&lt;&gt;"8","Server","")&amp;"-"&amp;IF(E67&lt;&gt;"6",F67,IF(F67="i686","i386",F67))&amp;"/")</f>
        <v>http://mirror.kakao.com/centos/7/os/x86_64/Packages/</v>
      </c>
      <c r="C67" s="20" t="str">
        <f t="shared" si="6"/>
        <v/>
      </c>
      <c r="D67" t="s">
        <v>67</v>
      </c>
      <c r="E67" s="20" t="s">
        <v>104</v>
      </c>
      <c r="F67" t="s">
        <v>69</v>
      </c>
      <c r="G67">
        <f t="shared" si="7"/>
        <v>1</v>
      </c>
      <c r="I67" t="str">
        <f t="shared" si="8"/>
        <v>libicu*el7*i686.rpm</v>
      </c>
      <c r="J67" t="s">
        <v>274</v>
      </c>
    </row>
    <row r="68" spans="2:10" x14ac:dyDescent="0.3">
      <c r="B68" t="str">
        <f>IF(C68&lt;&gt;"","https://download.postgresql.org",[2]Main!$J$28)&amp;IF(C68="",IF(E68&lt;&gt;"8","/"&amp;E68&amp;"/os/"&amp;IF(OR(E68="8",E68="7"),"x86_64",IF(F68="noarch","x86_64",IF(E68&lt;&gt;"6",F68,IF(F68="i686","i386",F68))))&amp;"/Packages/","/"&amp;E68&amp;"/"&amp;IF(OR(AND(E68="8",LEFT(D68,6)="python"),AND(E68="8",LEFT(D68,17)="redhat-rpm-config")),"AppStream","BaseOS")&amp;"/"&amp;IF(OR(E68="8",E68="7"),"x86_64",IF(F68="noarch","x86_64",IF(E68&lt;&gt;"6",F68,IF(F68="i686","i386",F68))))&amp;"/os/Packages/"),"/pub/repos/yum/"&amp;C68&amp;"/redhat/rhel-"&amp;E68&amp;IF(E68&lt;&gt;"8","Server","")&amp;"-"&amp;IF(E68&lt;&gt;"6",F68,IF(F68="i686","i386",F68))&amp;"/")</f>
        <v>http://mirror.kakao.com/centos/7/os/x86_64/Packages/</v>
      </c>
      <c r="C68" s="20" t="str">
        <f t="shared" si="6"/>
        <v/>
      </c>
      <c r="D68" t="s">
        <v>70</v>
      </c>
      <c r="E68" s="20" t="s">
        <v>104</v>
      </c>
      <c r="F68" t="s">
        <v>69</v>
      </c>
      <c r="G68">
        <f t="shared" si="7"/>
        <v>1</v>
      </c>
      <c r="I68" t="str">
        <f t="shared" si="8"/>
        <v>libxslt*el7*i686.rpm</v>
      </c>
      <c r="J68" t="s">
        <v>275</v>
      </c>
    </row>
    <row r="69" spans="2:10" x14ac:dyDescent="0.3">
      <c r="B69" t="str">
        <f>IF(C69&lt;&gt;"","https://download.postgresql.org",[2]Main!$J$28)&amp;IF(C69="",IF(E69&lt;&gt;"8","/"&amp;E69&amp;"/os/"&amp;IF(OR(E69="8",E69="7"),"x86_64",IF(F69="noarch","x86_64",IF(E69&lt;&gt;"6",F69,IF(F69="i686","i386",F69))))&amp;"/Packages/","/"&amp;E69&amp;"/"&amp;IF(OR(AND(E69="8",LEFT(D69,6)="python"),AND(E69="8",LEFT(D69,17)="redhat-rpm-config")),"AppStream","BaseOS")&amp;"/"&amp;IF(OR(E69="8",E69="7"),"x86_64",IF(F69="noarch","x86_64",IF(E69&lt;&gt;"6",F69,IF(F69="i686","i386",F69))))&amp;"/os/Packages/"),"/pub/repos/yum/"&amp;C69&amp;"/redhat/rhel-"&amp;E69&amp;IF(E69&lt;&gt;"8","Server","")&amp;"-"&amp;IF(E69&lt;&gt;"6",F69,IF(F69="i686","i386",F69))&amp;"/")</f>
        <v>http://mirror.kakao.com/centos/7/os/x86_64/Packages/</v>
      </c>
      <c r="C69" s="20" t="str">
        <f t="shared" si="6"/>
        <v/>
      </c>
      <c r="D69" t="s">
        <v>72</v>
      </c>
      <c r="E69" s="20" t="s">
        <v>104</v>
      </c>
      <c r="F69" t="s">
        <v>69</v>
      </c>
      <c r="G69">
        <f t="shared" si="7"/>
        <v>1</v>
      </c>
      <c r="I69" t="str">
        <f t="shared" si="8"/>
        <v>perl-libs*el7*i686.rpm</v>
      </c>
      <c r="J69" t="s">
        <v>181</v>
      </c>
    </row>
    <row r="70" spans="2:10" x14ac:dyDescent="0.3">
      <c r="B70" t="str">
        <f>IF(C70&lt;&gt;"","https://download.postgresql.org",[2]Main!$J$28)&amp;IF(C70="",IF(E70&lt;&gt;"8","/"&amp;E70&amp;"/os/"&amp;IF(OR(E70="8",E70="7"),"x86_64",IF(F70="noarch","x86_64",IF(E70&lt;&gt;"6",F70,IF(F70="i686","i386",F70))))&amp;"/Packages/","/"&amp;E70&amp;"/"&amp;IF(OR(AND(E70="8",LEFT(D70,6)="python"),AND(E70="8",LEFT(D70,17)="redhat-rpm-config")),"AppStream","BaseOS")&amp;"/"&amp;IF(OR(E70="8",E70="7"),"x86_64",IF(F70="noarch","x86_64",IF(E70&lt;&gt;"6",F70,IF(F70="i686","i386",F70))))&amp;"/os/Packages/"),"/pub/repos/yum/"&amp;C70&amp;"/redhat/rhel-"&amp;E70&amp;IF(E70&lt;&gt;"8","Server","")&amp;"-"&amp;IF(E70&lt;&gt;"6",F70,IF(F70="i686","i386",F70))&amp;"/")</f>
        <v>http://mirror.kakao.com/centos/7/os/x86_64/Packages/</v>
      </c>
      <c r="C70" s="20" t="str">
        <f t="shared" si="6"/>
        <v/>
      </c>
      <c r="D70" t="s">
        <v>101</v>
      </c>
      <c r="E70" s="20" t="s">
        <v>104</v>
      </c>
      <c r="F70" t="s">
        <v>102</v>
      </c>
      <c r="G70">
        <f t="shared" si="7"/>
        <v>1</v>
      </c>
      <c r="I70" t="str">
        <f t="shared" si="8"/>
        <v>libicu-doc*el7*noarch.rpm</v>
      </c>
      <c r="J70" t="s">
        <v>182</v>
      </c>
    </row>
    <row r="71" spans="2:10" x14ac:dyDescent="0.3">
      <c r="B71" t="str">
        <f>IF(C71&lt;&gt;"","https://download.postgresql.org",[2]Main!$J$28)&amp;IF(C71="",IF(E71&lt;&gt;"8","/"&amp;E71&amp;"/os/"&amp;IF(OR(E71="8",E71="7"),"x86_64",IF(F71="noarch","x86_64",IF(E71&lt;&gt;"6",F71,IF(F71="i686","i386",F71))))&amp;"/Packages/","/"&amp;E71&amp;"/"&amp;IF(OR(AND(E71="8",LEFT(D71,6)="python"),AND(E71="8",LEFT(D71,17)="redhat-rpm-config")),"AppStream","BaseOS")&amp;"/"&amp;IF(OR(E71="8",E71="7"),"x86_64",IF(F71="noarch","x86_64",IF(E71&lt;&gt;"6",F71,IF(F71="i686","i386",F71))))&amp;"/os/Packages/"),"/pub/repos/yum/"&amp;C71&amp;"/redhat/rhel-"&amp;E71&amp;IF(E71&lt;&gt;"8","Server","")&amp;"-"&amp;IF(E71&lt;&gt;"6",F71,IF(F71="i686","i386",F71))&amp;"/")</f>
        <v>http://mirror.kakao.com/centos/7/os/x86_64/Packages/</v>
      </c>
      <c r="C71" s="20" t="str">
        <f t="shared" si="6"/>
        <v/>
      </c>
      <c r="D71" t="s">
        <v>105</v>
      </c>
      <c r="E71" s="20" t="s">
        <v>104</v>
      </c>
      <c r="F71" t="s">
        <v>102</v>
      </c>
      <c r="G71">
        <f t="shared" si="7"/>
        <v>1</v>
      </c>
      <c r="I71" t="str">
        <f t="shared" si="8"/>
        <v>perl-Carp*el7*noarch.rpm</v>
      </c>
      <c r="J71" t="s">
        <v>276</v>
      </c>
    </row>
    <row r="72" spans="2:10" x14ac:dyDescent="0.3">
      <c r="B72" t="str">
        <f>IF(C72&lt;&gt;"","https://download.postgresql.org",[2]Main!$J$28)&amp;IF(C72="",IF(E72&lt;&gt;"8","/"&amp;E72&amp;"/os/"&amp;IF(OR(E72="8",E72="7"),"x86_64",IF(F72="noarch","x86_64",IF(E72&lt;&gt;"6",F72,IF(F72="i686","i386",F72))))&amp;"/Packages/","/"&amp;E72&amp;"/"&amp;IF(OR(AND(E72="8",LEFT(D72,6)="python"),AND(E72="8",LEFT(D72,17)="redhat-rpm-config")),"AppStream","BaseOS")&amp;"/"&amp;IF(OR(E72="8",E72="7"),"x86_64",IF(F72="noarch","x86_64",IF(E72&lt;&gt;"6",F72,IF(F72="i686","i386",F72))))&amp;"/os/Packages/"),"/pub/repos/yum/"&amp;C72&amp;"/redhat/rhel-"&amp;E72&amp;IF(E72&lt;&gt;"8","Server","")&amp;"-"&amp;IF(E72&lt;&gt;"6",F72,IF(F72="i686","i386",F72))&amp;"/")</f>
        <v>http://mirror.kakao.com/centos/7/os/x86_64/Packages/</v>
      </c>
      <c r="C72" s="20" t="str">
        <f t="shared" si="6"/>
        <v/>
      </c>
      <c r="D72" t="s">
        <v>106</v>
      </c>
      <c r="E72" s="20" t="s">
        <v>104</v>
      </c>
      <c r="F72" t="s">
        <v>102</v>
      </c>
      <c r="G72">
        <f t="shared" si="7"/>
        <v>1</v>
      </c>
      <c r="I72" t="str">
        <f t="shared" si="8"/>
        <v>perl-constant*el7*noarch.rpm</v>
      </c>
      <c r="J72" t="s">
        <v>183</v>
      </c>
    </row>
    <row r="73" spans="2:10" x14ac:dyDescent="0.3">
      <c r="B73" t="str">
        <f>IF(C73&lt;&gt;"","https://download.postgresql.org",[2]Main!$J$28)&amp;IF(C73="",IF(E73&lt;&gt;"8","/"&amp;E73&amp;"/os/"&amp;IF(OR(E73="8",E73="7"),"x86_64",IF(F73="noarch","x86_64",IF(E73&lt;&gt;"6",F73,IF(F73="i686","i386",F73))))&amp;"/Packages/","/"&amp;E73&amp;"/"&amp;IF(OR(AND(E73="8",LEFT(D73,6)="python"),AND(E73="8",LEFT(D73,17)="redhat-rpm-config")),"AppStream","BaseOS")&amp;"/"&amp;IF(OR(E73="8",E73="7"),"x86_64",IF(F73="noarch","x86_64",IF(E73&lt;&gt;"6",F73,IF(F73="i686","i386",F73))))&amp;"/os/Packages/"),"/pub/repos/yum/"&amp;C73&amp;"/redhat/rhel-"&amp;E73&amp;IF(E73&lt;&gt;"8","Server","")&amp;"-"&amp;IF(E73&lt;&gt;"6",F73,IF(F73="i686","i386",F73))&amp;"/")</f>
        <v>http://mirror.kakao.com/centos/7/os/x86_64/Packages/</v>
      </c>
      <c r="C73" s="20" t="str">
        <f t="shared" si="6"/>
        <v/>
      </c>
      <c r="D73" t="s">
        <v>107</v>
      </c>
      <c r="E73" s="20" t="s">
        <v>104</v>
      </c>
      <c r="F73" t="s">
        <v>102</v>
      </c>
      <c r="G73">
        <f t="shared" si="7"/>
        <v>1</v>
      </c>
      <c r="I73" t="str">
        <f t="shared" si="8"/>
        <v>perl-Exporter*el7*noarch.rpm</v>
      </c>
      <c r="J73" t="s">
        <v>184</v>
      </c>
    </row>
    <row r="74" spans="2:10" x14ac:dyDescent="0.3">
      <c r="B74" t="str">
        <f>IF(C74&lt;&gt;"","https://download.postgresql.org",[2]Main!$J$28)&amp;IF(C74="",IF(E74&lt;&gt;"8","/"&amp;E74&amp;"/os/"&amp;IF(OR(E74="8",E74="7"),"x86_64",IF(F74="noarch","x86_64",IF(E74&lt;&gt;"6",F74,IF(F74="i686","i386",F74))))&amp;"/Packages/","/"&amp;E74&amp;"/"&amp;IF(OR(AND(E74="8",LEFT(D74,6)="python"),AND(E74="8",LEFT(D74,17)="redhat-rpm-config")),"AppStream","BaseOS")&amp;"/"&amp;IF(OR(E74="8",E74="7"),"x86_64",IF(F74="noarch","x86_64",IF(E74&lt;&gt;"6",F74,IF(F74="i686","i386",F74))))&amp;"/os/Packages/"),"/pub/repos/yum/"&amp;C74&amp;"/redhat/rhel-"&amp;E74&amp;IF(E74&lt;&gt;"8","Server","")&amp;"-"&amp;IF(E74&lt;&gt;"6",F74,IF(F74="i686","i386",F74))&amp;"/")</f>
        <v>http://mirror.kakao.com/centos/7/os/x86_64/Packages/</v>
      </c>
      <c r="C74" s="20" t="str">
        <f t="shared" si="6"/>
        <v/>
      </c>
      <c r="D74" t="s">
        <v>108</v>
      </c>
      <c r="E74" s="20" t="s">
        <v>104</v>
      </c>
      <c r="F74" t="s">
        <v>102</v>
      </c>
      <c r="G74">
        <f t="shared" si="7"/>
        <v>1</v>
      </c>
      <c r="I74" t="str">
        <f t="shared" si="8"/>
        <v>perl-File-Path*el7*noarch.rpm</v>
      </c>
      <c r="J74" t="s">
        <v>185</v>
      </c>
    </row>
    <row r="75" spans="2:10" x14ac:dyDescent="0.3">
      <c r="B75" t="str">
        <f>IF(C75&lt;&gt;"","https://download.postgresql.org",[2]Main!$J$28)&amp;IF(C75="",IF(E75&lt;&gt;"8","/"&amp;E75&amp;"/os/"&amp;IF(OR(E75="8",E75="7"),"x86_64",IF(F75="noarch","x86_64",IF(E75&lt;&gt;"6",F75,IF(F75="i686","i386",F75))))&amp;"/Packages/","/"&amp;E75&amp;"/"&amp;IF(OR(AND(E75="8",LEFT(D75,6)="python"),AND(E75="8",LEFT(D75,17)="redhat-rpm-config")),"AppStream","BaseOS")&amp;"/"&amp;IF(OR(E75="8",E75="7"),"x86_64",IF(F75="noarch","x86_64",IF(E75&lt;&gt;"6",F75,IF(F75="i686","i386",F75))))&amp;"/os/Packages/"),"/pub/repos/yum/"&amp;C75&amp;"/redhat/rhel-"&amp;E75&amp;IF(E75&lt;&gt;"8","Server","")&amp;"-"&amp;IF(E75&lt;&gt;"6",F75,IF(F75="i686","i386",F75))&amp;"/")</f>
        <v>http://mirror.kakao.com/centos/7/os/x86_64/Packages/</v>
      </c>
      <c r="C75" s="20" t="str">
        <f t="shared" si="6"/>
        <v/>
      </c>
      <c r="D75" t="s">
        <v>109</v>
      </c>
      <c r="E75" s="20" t="s">
        <v>104</v>
      </c>
      <c r="F75" t="s">
        <v>102</v>
      </c>
      <c r="G75">
        <f t="shared" si="7"/>
        <v>1</v>
      </c>
      <c r="I75" t="str">
        <f t="shared" si="8"/>
        <v>perl-File-Temp*el7*noarch.rpm</v>
      </c>
      <c r="J75" t="s">
        <v>186</v>
      </c>
    </row>
    <row r="76" spans="2:10" x14ac:dyDescent="0.3">
      <c r="B76" t="str">
        <f>IF(C76&lt;&gt;"","https://download.postgresql.org",[2]Main!$J$28)&amp;IF(C76="",IF(E76&lt;&gt;"8","/"&amp;E76&amp;"/os/"&amp;IF(OR(E76="8",E76="7"),"x86_64",IF(F76="noarch","x86_64",IF(E76&lt;&gt;"6",F76,IF(F76="i686","i386",F76))))&amp;"/Packages/","/"&amp;E76&amp;"/"&amp;IF(OR(AND(E76="8",LEFT(D76,6)="python"),AND(E76="8",LEFT(D76,17)="redhat-rpm-config")),"AppStream","BaseOS")&amp;"/"&amp;IF(OR(E76="8",E76="7"),"x86_64",IF(F76="noarch","x86_64",IF(E76&lt;&gt;"6",F76,IF(F76="i686","i386",F76))))&amp;"/os/Packages/"),"/pub/repos/yum/"&amp;C76&amp;"/redhat/rhel-"&amp;E76&amp;IF(E76&lt;&gt;"8","Server","")&amp;"-"&amp;IF(E76&lt;&gt;"6",F76,IF(F76="i686","i386",F76))&amp;"/")</f>
        <v>http://mirror.kakao.com/centos/7/os/x86_64/Packages/</v>
      </c>
      <c r="C76" s="20" t="str">
        <f t="shared" si="6"/>
        <v/>
      </c>
      <c r="D76" t="s">
        <v>110</v>
      </c>
      <c r="E76" s="20" t="s">
        <v>104</v>
      </c>
      <c r="F76" t="s">
        <v>102</v>
      </c>
      <c r="G76">
        <f t="shared" si="7"/>
        <v>1</v>
      </c>
      <c r="I76" t="str">
        <f t="shared" si="8"/>
        <v>perl-Getopt-Long*el7*noarch.rpm</v>
      </c>
      <c r="J76" t="s">
        <v>187</v>
      </c>
    </row>
    <row r="77" spans="2:10" x14ac:dyDescent="0.3">
      <c r="B77" t="str">
        <f>IF(C77&lt;&gt;"","https://download.postgresql.org",[2]Main!$J$28)&amp;IF(C77="",IF(E77&lt;&gt;"8","/"&amp;E77&amp;"/os/"&amp;IF(OR(E77="8",E77="7"),"x86_64",IF(F77="noarch","x86_64",IF(E77&lt;&gt;"6",F77,IF(F77="i686","i386",F77))))&amp;"/Packages/","/"&amp;E77&amp;"/"&amp;IF(OR(AND(E77="8",LEFT(D77,6)="python"),AND(E77="8",LEFT(D77,17)="redhat-rpm-config")),"AppStream","BaseOS")&amp;"/"&amp;IF(OR(E77="8",E77="7"),"x86_64",IF(F77="noarch","x86_64",IF(E77&lt;&gt;"6",F77,IF(F77="i686","i386",F77))))&amp;"/os/Packages/"),"/pub/repos/yum/"&amp;C77&amp;"/redhat/rhel-"&amp;E77&amp;IF(E77&lt;&gt;"8","Server","")&amp;"-"&amp;IF(E77&lt;&gt;"6",F77,IF(F77="i686","i386",F77))&amp;"/")</f>
        <v>http://mirror.kakao.com/centos/7/os/x86_64/Packages/</v>
      </c>
      <c r="C77" s="20" t="str">
        <f t="shared" si="6"/>
        <v/>
      </c>
      <c r="D77" t="s">
        <v>111</v>
      </c>
      <c r="E77" s="20" t="s">
        <v>104</v>
      </c>
      <c r="F77" t="s">
        <v>102</v>
      </c>
      <c r="G77">
        <f t="shared" si="7"/>
        <v>1</v>
      </c>
      <c r="I77" t="str">
        <f t="shared" si="8"/>
        <v>perl-HTTP-Tiny*el7*noarch.rpm</v>
      </c>
      <c r="J77" t="s">
        <v>188</v>
      </c>
    </row>
    <row r="78" spans="2:10" x14ac:dyDescent="0.3">
      <c r="B78" t="str">
        <f>IF(C78&lt;&gt;"","https://download.postgresql.org",[2]Main!$J$28)&amp;IF(C78="",IF(E78&lt;&gt;"8","/"&amp;E78&amp;"/os/"&amp;IF(OR(E78="8",E78="7"),"x86_64",IF(F78="noarch","x86_64",IF(E78&lt;&gt;"6",F78,IF(F78="i686","i386",F78))))&amp;"/Packages/","/"&amp;E78&amp;"/"&amp;IF(OR(AND(E78="8",LEFT(D78,6)="python"),AND(E78="8",LEFT(D78,17)="redhat-rpm-config")),"AppStream","BaseOS")&amp;"/"&amp;IF(OR(E78="8",E78="7"),"x86_64",IF(F78="noarch","x86_64",IF(E78&lt;&gt;"6",F78,IF(F78="i686","i386",F78))))&amp;"/os/Packages/"),"/pub/repos/yum/"&amp;C78&amp;"/redhat/rhel-"&amp;E78&amp;IF(E78&lt;&gt;"8","Server","")&amp;"-"&amp;IF(E78&lt;&gt;"6",F78,IF(F78="i686","i386",F78))&amp;"/")</f>
        <v>http://mirror.kakao.com/centos/7/os/x86_64/Packages/</v>
      </c>
      <c r="C78" s="20" t="str">
        <f t="shared" si="6"/>
        <v/>
      </c>
      <c r="D78" t="s">
        <v>73</v>
      </c>
      <c r="E78" s="20" t="s">
        <v>104</v>
      </c>
      <c r="F78" t="s">
        <v>102</v>
      </c>
      <c r="G78">
        <f t="shared" si="7"/>
        <v>1</v>
      </c>
      <c r="I78" t="str">
        <f t="shared" si="8"/>
        <v>perl-Module-Pluggable*el7*noarch.rpm</v>
      </c>
      <c r="J78" t="s">
        <v>189</v>
      </c>
    </row>
    <row r="79" spans="2:10" x14ac:dyDescent="0.3">
      <c r="B79" t="str">
        <f>IF(C79&lt;&gt;"","https://download.postgresql.org",[2]Main!$J$28)&amp;IF(C79="",IF(E79&lt;&gt;"8","/"&amp;E79&amp;"/os/"&amp;IF(OR(E79="8",E79="7"),"x86_64",IF(F79="noarch","x86_64",IF(E79&lt;&gt;"6",F79,IF(F79="i686","i386",F79))))&amp;"/Packages/","/"&amp;E79&amp;"/"&amp;IF(OR(AND(E79="8",LEFT(D79,6)="python"),AND(E79="8",LEFT(D79,17)="redhat-rpm-config")),"AppStream","BaseOS")&amp;"/"&amp;IF(OR(E79="8",E79="7"),"x86_64",IF(F79="noarch","x86_64",IF(E79&lt;&gt;"6",F79,IF(F79="i686","i386",F79))))&amp;"/os/Packages/"),"/pub/repos/yum/"&amp;C79&amp;"/redhat/rhel-"&amp;E79&amp;IF(E79&lt;&gt;"8","Server","")&amp;"-"&amp;IF(E79&lt;&gt;"6",F79,IF(F79="i686","i386",F79))&amp;"/")</f>
        <v>http://mirror.kakao.com/centos/7/os/x86_64/Packages/</v>
      </c>
      <c r="C79" s="20" t="str">
        <f t="shared" si="6"/>
        <v/>
      </c>
      <c r="D79" t="s">
        <v>112</v>
      </c>
      <c r="E79" s="20" t="s">
        <v>104</v>
      </c>
      <c r="F79" t="s">
        <v>102</v>
      </c>
      <c r="G79">
        <f t="shared" si="7"/>
        <v>1</v>
      </c>
      <c r="I79" t="str">
        <f t="shared" si="8"/>
        <v>perl-parent*el7*noarch.rpm</v>
      </c>
      <c r="J79" t="s">
        <v>190</v>
      </c>
    </row>
    <row r="80" spans="2:10" x14ac:dyDescent="0.3">
      <c r="B80" t="str">
        <f>IF(C80&lt;&gt;"","https://download.postgresql.org",[2]Main!$J$28)&amp;IF(C80="",IF(E80&lt;&gt;"8","/"&amp;E80&amp;"/os/"&amp;IF(OR(E80="8",E80="7"),"x86_64",IF(F80="noarch","x86_64",IF(E80&lt;&gt;"6",F80,IF(F80="i686","i386",F80))))&amp;"/Packages/","/"&amp;E80&amp;"/"&amp;IF(OR(AND(E80="8",LEFT(D80,6)="python"),AND(E80="8",LEFT(D80,17)="redhat-rpm-config")),"AppStream","BaseOS")&amp;"/"&amp;IF(OR(E80="8",E80="7"),"x86_64",IF(F80="noarch","x86_64",IF(E80&lt;&gt;"6",F80,IF(F80="i686","i386",F80))))&amp;"/os/Packages/"),"/pub/repos/yum/"&amp;C80&amp;"/redhat/rhel-"&amp;E80&amp;IF(E80&lt;&gt;"8","Server","")&amp;"-"&amp;IF(E80&lt;&gt;"6",F80,IF(F80="i686","i386",F80))&amp;"/")</f>
        <v>http://mirror.kakao.com/centos/7/os/x86_64/Packages/</v>
      </c>
      <c r="C80" s="20" t="str">
        <f t="shared" si="6"/>
        <v/>
      </c>
      <c r="D80" t="s">
        <v>74</v>
      </c>
      <c r="E80" s="20" t="s">
        <v>104</v>
      </c>
      <c r="F80" t="s">
        <v>102</v>
      </c>
      <c r="G80">
        <f t="shared" si="7"/>
        <v>1</v>
      </c>
      <c r="I80" t="str">
        <f t="shared" si="8"/>
        <v>perl-Pod-Escapes*el7*noarch.rpm</v>
      </c>
      <c r="J80" t="s">
        <v>191</v>
      </c>
    </row>
    <row r="81" spans="2:10" x14ac:dyDescent="0.3">
      <c r="B81" t="str">
        <f>IF(C81&lt;&gt;"","https://download.postgresql.org",[2]Main!$J$28)&amp;IF(C81="",IF(E81&lt;&gt;"8","/"&amp;E81&amp;"/os/"&amp;IF(OR(E81="8",E81="7"),"x86_64",IF(F81="noarch","x86_64",IF(E81&lt;&gt;"6",F81,IF(F81="i686","i386",F81))))&amp;"/Packages/","/"&amp;E81&amp;"/"&amp;IF(OR(AND(E81="8",LEFT(D81,6)="python"),AND(E81="8",LEFT(D81,17)="redhat-rpm-config")),"AppStream","BaseOS")&amp;"/"&amp;IF(OR(E81="8",E81="7"),"x86_64",IF(F81="noarch","x86_64",IF(E81&lt;&gt;"6",F81,IF(F81="i686","i386",F81))))&amp;"/os/Packages/"),"/pub/repos/yum/"&amp;C81&amp;"/redhat/rhel-"&amp;E81&amp;IF(E81&lt;&gt;"8","Server","")&amp;"-"&amp;IF(E81&lt;&gt;"6",F81,IF(F81="i686","i386",F81))&amp;"/")</f>
        <v>http://mirror.kakao.com/centos/7/os/x86_64/Packages/</v>
      </c>
      <c r="C81" s="20" t="str">
        <f t="shared" si="6"/>
        <v/>
      </c>
      <c r="D81" t="s">
        <v>113</v>
      </c>
      <c r="E81" s="20" t="s">
        <v>104</v>
      </c>
      <c r="F81" t="s">
        <v>102</v>
      </c>
      <c r="G81">
        <f t="shared" si="7"/>
        <v>1</v>
      </c>
      <c r="I81" t="str">
        <f t="shared" si="8"/>
        <v>perl-podlators*el7*noarch.rpm</v>
      </c>
      <c r="J81" t="s">
        <v>192</v>
      </c>
    </row>
    <row r="82" spans="2:10" x14ac:dyDescent="0.3">
      <c r="B82" t="str">
        <f>IF(C82&lt;&gt;"","https://download.postgresql.org",[2]Main!$J$28)&amp;IF(C82="",IF(E82&lt;&gt;"8","/"&amp;E82&amp;"/os/"&amp;IF(OR(E82="8",E82="7"),"x86_64",IF(F82="noarch","x86_64",IF(E82&lt;&gt;"6",F82,IF(F82="i686","i386",F82))))&amp;"/Packages/","/"&amp;E82&amp;"/"&amp;IF(OR(AND(E82="8",LEFT(D82,6)="python"),AND(E82="8",LEFT(D82,17)="redhat-rpm-config")),"AppStream","BaseOS")&amp;"/"&amp;IF(OR(E82="8",E82="7"),"x86_64",IF(F82="noarch","x86_64",IF(E82&lt;&gt;"6",F82,IF(F82="i686","i386",F82))))&amp;"/os/Packages/"),"/pub/repos/yum/"&amp;C82&amp;"/redhat/rhel-"&amp;E82&amp;IF(E82&lt;&gt;"8","Server","")&amp;"-"&amp;IF(E82&lt;&gt;"6",F82,IF(F82="i686","i386",F82))&amp;"/")</f>
        <v>http://mirror.kakao.com/centos/7/os/x86_64/Packages/</v>
      </c>
      <c r="C82" s="20" t="str">
        <f t="shared" si="6"/>
        <v/>
      </c>
      <c r="D82" t="s">
        <v>114</v>
      </c>
      <c r="E82" s="20" t="s">
        <v>104</v>
      </c>
      <c r="F82" t="s">
        <v>102</v>
      </c>
      <c r="G82">
        <f t="shared" si="7"/>
        <v>1</v>
      </c>
      <c r="I82" t="str">
        <f t="shared" si="8"/>
        <v>perl-Pod-Perldoc*el7*noarch.rpm</v>
      </c>
      <c r="J82" t="s">
        <v>193</v>
      </c>
    </row>
    <row r="83" spans="2:10" x14ac:dyDescent="0.3">
      <c r="B83" t="str">
        <f>IF(C83&lt;&gt;"","https://download.postgresql.org",[2]Main!$J$28)&amp;IF(C83="",IF(E83&lt;&gt;"8","/"&amp;E83&amp;"/os/"&amp;IF(OR(E83="8",E83="7"),"x86_64",IF(F83="noarch","x86_64",IF(E83&lt;&gt;"6",F83,IF(F83="i686","i386",F83))))&amp;"/Packages/","/"&amp;E83&amp;"/"&amp;IF(OR(AND(E83="8",LEFT(D83,6)="python"),AND(E83="8",LEFT(D83,17)="redhat-rpm-config")),"AppStream","BaseOS")&amp;"/"&amp;IF(OR(E83="8",E83="7"),"x86_64",IF(F83="noarch","x86_64",IF(E83&lt;&gt;"6",F83,IF(F83="i686","i386",F83))))&amp;"/os/Packages/"),"/pub/repos/yum/"&amp;C83&amp;"/redhat/rhel-"&amp;E83&amp;IF(E83&lt;&gt;"8","Server","")&amp;"-"&amp;IF(E83&lt;&gt;"6",F83,IF(F83="i686","i386",F83))&amp;"/")</f>
        <v>http://mirror.kakao.com/centos/7/os/x86_64/Packages/</v>
      </c>
      <c r="C83" s="20" t="str">
        <f t="shared" si="6"/>
        <v/>
      </c>
      <c r="D83" t="s">
        <v>75</v>
      </c>
      <c r="E83" s="20" t="s">
        <v>104</v>
      </c>
      <c r="F83" t="s">
        <v>102</v>
      </c>
      <c r="G83">
        <f t="shared" si="7"/>
        <v>1</v>
      </c>
      <c r="I83" t="str">
        <f t="shared" si="8"/>
        <v>perl-Pod-Simple*el7*noarch.rpm</v>
      </c>
      <c r="J83" t="s">
        <v>194</v>
      </c>
    </row>
    <row r="84" spans="2:10" x14ac:dyDescent="0.3">
      <c r="B84" t="str">
        <f>IF(C84&lt;&gt;"","https://download.postgresql.org",[2]Main!$J$28)&amp;IF(C84="",IF(E84&lt;&gt;"8","/"&amp;E84&amp;"/os/"&amp;IF(OR(E84="8",E84="7"),"x86_64",IF(F84="noarch","x86_64",IF(E84&lt;&gt;"6",F84,IF(F84="i686","i386",F84))))&amp;"/Packages/","/"&amp;E84&amp;"/"&amp;IF(OR(AND(E84="8",LEFT(D84,6)="python"),AND(E84="8",LEFT(D84,17)="redhat-rpm-config")),"AppStream","BaseOS")&amp;"/"&amp;IF(OR(E84="8",E84="7"),"x86_64",IF(F84="noarch","x86_64",IF(E84&lt;&gt;"6",F84,IF(F84="i686","i386",F84))))&amp;"/os/Packages/"),"/pub/repos/yum/"&amp;C84&amp;"/redhat/rhel-"&amp;E84&amp;IF(E84&lt;&gt;"8","Server","")&amp;"-"&amp;IF(E84&lt;&gt;"6",F84,IF(F84="i686","i386",F84))&amp;"/")</f>
        <v>http://mirror.kakao.com/centos/7/os/x86_64/Packages/</v>
      </c>
      <c r="C84" s="20" t="str">
        <f t="shared" si="6"/>
        <v/>
      </c>
      <c r="D84" t="s">
        <v>115</v>
      </c>
      <c r="E84" s="20" t="s">
        <v>104</v>
      </c>
      <c r="F84" t="s">
        <v>102</v>
      </c>
      <c r="G84">
        <f t="shared" si="7"/>
        <v>1</v>
      </c>
      <c r="I84" t="str">
        <f t="shared" si="8"/>
        <v>perl-Pod-Usage*el7*noarch.rpm</v>
      </c>
      <c r="J84" t="s">
        <v>195</v>
      </c>
    </row>
    <row r="85" spans="2:10" x14ac:dyDescent="0.3">
      <c r="B85" t="str">
        <f>IF(C85&lt;&gt;"","https://download.postgresql.org",[2]Main!$J$28)&amp;IF(C85="",IF(E85&lt;&gt;"8","/"&amp;E85&amp;"/os/"&amp;IF(OR(E85="8",E85="7"),"x86_64",IF(F85="noarch","x86_64",IF(E85&lt;&gt;"6",F85,IF(F85="i686","i386",F85))))&amp;"/Packages/","/"&amp;E85&amp;"/"&amp;IF(OR(AND(E85="8",LEFT(D85,6)="python"),AND(E85="8",LEFT(D85,17)="redhat-rpm-config")),"AppStream","BaseOS")&amp;"/"&amp;IF(OR(E85="8",E85="7"),"x86_64",IF(F85="noarch","x86_64",IF(E85&lt;&gt;"6",F85,IF(F85="i686","i386",F85))))&amp;"/os/Packages/"),"/pub/repos/yum/"&amp;C85&amp;"/redhat/rhel-"&amp;E85&amp;IF(E85&lt;&gt;"8","Server","")&amp;"-"&amp;IF(E85&lt;&gt;"6",F85,IF(F85="i686","i386",F85))&amp;"/")</f>
        <v>http://mirror.kakao.com/centos/7/os/x86_64/Packages/</v>
      </c>
      <c r="C85" s="20" t="str">
        <f t="shared" si="6"/>
        <v/>
      </c>
      <c r="D85" t="s">
        <v>116</v>
      </c>
      <c r="E85" s="20" t="s">
        <v>104</v>
      </c>
      <c r="F85" t="s">
        <v>102</v>
      </c>
      <c r="G85">
        <f t="shared" si="7"/>
        <v>1</v>
      </c>
      <c r="I85" t="str">
        <f t="shared" si="8"/>
        <v>perl-Text-ParseWords*el7*noarch.rpm</v>
      </c>
      <c r="J85" t="s">
        <v>196</v>
      </c>
    </row>
    <row r="86" spans="2:10" x14ac:dyDescent="0.3">
      <c r="B86" t="str">
        <f>IF(C86&lt;&gt;"","https://download.postgresql.org",[2]Main!$J$28)&amp;IF(C86="",IF(E86&lt;&gt;"8","/"&amp;E86&amp;"/os/"&amp;IF(OR(E86="8",E86="7"),"x86_64",IF(F86="noarch","x86_64",IF(E86&lt;&gt;"6",F86,IF(F86="i686","i386",F86))))&amp;"/Packages/","/"&amp;E86&amp;"/"&amp;IF(OR(AND(E86="8",LEFT(D86,6)="python"),AND(E86="8",LEFT(D86,17)="redhat-rpm-config")),"AppStream","BaseOS")&amp;"/"&amp;IF(OR(E86="8",E86="7"),"x86_64",IF(F86="noarch","x86_64",IF(E86&lt;&gt;"6",F86,IF(F86="i686","i386",F86))))&amp;"/os/Packages/"),"/pub/repos/yum/"&amp;C86&amp;"/redhat/rhel-"&amp;E86&amp;IF(E86&lt;&gt;"8","Server","")&amp;"-"&amp;IF(E86&lt;&gt;"6",F86,IF(F86="i686","i386",F86))&amp;"/")</f>
        <v>http://mirror.kakao.com/centos/7/os/x86_64/Packages/</v>
      </c>
      <c r="C86" s="20" t="str">
        <f t="shared" si="6"/>
        <v/>
      </c>
      <c r="D86" t="s">
        <v>117</v>
      </c>
      <c r="E86" s="20" t="s">
        <v>104</v>
      </c>
      <c r="F86" t="s">
        <v>102</v>
      </c>
      <c r="G86">
        <f t="shared" si="7"/>
        <v>1</v>
      </c>
      <c r="I86" t="str">
        <f t="shared" si="8"/>
        <v>perl-Time-Local*el7*noarch.rpm</v>
      </c>
      <c r="J86" t="s">
        <v>197</v>
      </c>
    </row>
    <row r="87" spans="2:10" x14ac:dyDescent="0.3">
      <c r="B87" t="str">
        <f>IF(C87&lt;&gt;"","https://download.postgresql.org",[2]Main!$J$28)&amp;IF(C87="",IF(E87&lt;&gt;"8","/"&amp;E87&amp;"/os/"&amp;IF(OR(E87="8",E87="7"),"x86_64",IF(F87="noarch","x86_64",IF(E87&lt;&gt;"6",F87,IF(F87="i686","i386",F87))))&amp;"/Packages/","/"&amp;E87&amp;"/"&amp;IF(OR(AND(E87="8",LEFT(D87,6)="python"),AND(E87="8",LEFT(D87,17)="redhat-rpm-config")),"AppStream","BaseOS")&amp;"/"&amp;IF(OR(E87="8",E87="7"),"x86_64",IF(F87="noarch","x86_64",IF(E87&lt;&gt;"6",F87,IF(F87="i686","i386",F87))))&amp;"/os/Packages/"),"/pub/repos/yum/"&amp;C87&amp;"/redhat/rhel-"&amp;E87&amp;IF(E87&lt;&gt;"8","Server","")&amp;"-"&amp;IF(E87&lt;&gt;"6",F87,IF(F87="i686","i386",F87))&amp;"/")</f>
        <v>http://mirror.kakao.com/centos/7/os/x86_64/Packages/</v>
      </c>
      <c r="C87" s="20" t="str">
        <f t="shared" si="6"/>
        <v/>
      </c>
      <c r="D87" t="s">
        <v>67</v>
      </c>
      <c r="E87" s="20" t="s">
        <v>104</v>
      </c>
      <c r="F87" t="s">
        <v>103</v>
      </c>
      <c r="G87">
        <f t="shared" si="7"/>
        <v>1</v>
      </c>
      <c r="I87" t="str">
        <f t="shared" si="8"/>
        <v>libicu*el7*x86_64.rpm</v>
      </c>
      <c r="J87" t="s">
        <v>277</v>
      </c>
    </row>
    <row r="88" spans="2:10" x14ac:dyDescent="0.3">
      <c r="B88" t="str">
        <f>IF(C88&lt;&gt;"","https://download.postgresql.org",[2]Main!$J$28)&amp;IF(C88="",IF(E88&lt;&gt;"8","/"&amp;E88&amp;"/os/"&amp;IF(OR(E88="8",E88="7"),"x86_64",IF(F88="noarch","x86_64",IF(E88&lt;&gt;"6",F88,IF(F88="i686","i386",F88))))&amp;"/Packages/","/"&amp;E88&amp;"/"&amp;IF(OR(AND(E88="8",LEFT(D88,6)="python"),AND(E88="8",LEFT(D88,17)="redhat-rpm-config")),"AppStream","BaseOS")&amp;"/"&amp;IF(OR(E88="8",E88="7"),"x86_64",IF(F88="noarch","x86_64",IF(E88&lt;&gt;"6",F88,IF(F88="i686","i386",F88))))&amp;"/os/Packages/"),"/pub/repos/yum/"&amp;C88&amp;"/redhat/rhel-"&amp;E88&amp;IF(E88&lt;&gt;"8","Server","")&amp;"-"&amp;IF(E88&lt;&gt;"6",F88,IF(F88="i686","i386",F88))&amp;"/")</f>
        <v>http://mirror.kakao.com/centos/7/os/x86_64/Packages/</v>
      </c>
      <c r="C88" s="20" t="str">
        <f t="shared" si="6"/>
        <v/>
      </c>
      <c r="D88" t="s">
        <v>70</v>
      </c>
      <c r="E88" s="20" t="s">
        <v>104</v>
      </c>
      <c r="F88" t="s">
        <v>103</v>
      </c>
      <c r="G88">
        <f t="shared" si="7"/>
        <v>1</v>
      </c>
      <c r="I88" t="str">
        <f t="shared" si="8"/>
        <v>libxslt*el7*x86_64.rpm</v>
      </c>
      <c r="J88" t="s">
        <v>278</v>
      </c>
    </row>
    <row r="89" spans="2:10" x14ac:dyDescent="0.3">
      <c r="B89" t="str">
        <f>IF(C89&lt;&gt;"","https://download.postgresql.org",[2]Main!$J$28)&amp;IF(C89="",IF(E89&lt;&gt;"8","/"&amp;E89&amp;"/os/"&amp;IF(OR(E89="8",E89="7"),"x86_64",IF(F89="noarch","x86_64",IF(E89&lt;&gt;"6",F89,IF(F89="i686","i386",F89))))&amp;"/Packages/","/"&amp;E89&amp;"/"&amp;IF(OR(AND(E89="8",LEFT(D89,6)="python"),AND(E89="8",LEFT(D89,17)="redhat-rpm-config")),"AppStream","BaseOS")&amp;"/"&amp;IF(OR(E89="8",E89="7"),"x86_64",IF(F89="noarch","x86_64",IF(E89&lt;&gt;"6",F89,IF(F89="i686","i386",F89))))&amp;"/os/Packages/"),"/pub/repos/yum/"&amp;C89&amp;"/redhat/rhel-"&amp;E89&amp;IF(E89&lt;&gt;"8","Server","")&amp;"-"&amp;IF(E89&lt;&gt;"6",F89,IF(F89="i686","i386",F89))&amp;"/")</f>
        <v>http://mirror.kakao.com/centos/7/os/x86_64/Packages/</v>
      </c>
      <c r="C89" s="20" t="str">
        <f t="shared" si="6"/>
        <v/>
      </c>
      <c r="D89" t="s">
        <v>71</v>
      </c>
      <c r="E89" s="20" t="s">
        <v>104</v>
      </c>
      <c r="F89" t="s">
        <v>103</v>
      </c>
      <c r="G89">
        <f t="shared" si="7"/>
        <v>1</v>
      </c>
      <c r="I89" t="str">
        <f t="shared" si="8"/>
        <v>perl*el7*x86_64.rpm</v>
      </c>
      <c r="J89" t="s">
        <v>279</v>
      </c>
    </row>
    <row r="90" spans="2:10" x14ac:dyDescent="0.3">
      <c r="B90" t="str">
        <f>IF(C90&lt;&gt;"","https://download.postgresql.org",[2]Main!$J$28)&amp;IF(C90="",IF(E90&lt;&gt;"8","/"&amp;E90&amp;"/os/"&amp;IF(OR(E90="8",E90="7"),"x86_64",IF(F90="noarch","x86_64",IF(E90&lt;&gt;"6",F90,IF(F90="i686","i386",F90))))&amp;"/Packages/","/"&amp;E90&amp;"/"&amp;IF(OR(AND(E90="8",LEFT(D90,6)="python"),AND(E90="8",LEFT(D90,17)="redhat-rpm-config")),"AppStream","BaseOS")&amp;"/"&amp;IF(OR(E90="8",E90="7"),"x86_64",IF(F90="noarch","x86_64",IF(E90&lt;&gt;"6",F90,IF(F90="i686","i386",F90))))&amp;"/os/Packages/"),"/pub/repos/yum/"&amp;C90&amp;"/redhat/rhel-"&amp;E90&amp;IF(E90&lt;&gt;"8","Server","")&amp;"-"&amp;IF(E90&lt;&gt;"6",F90,IF(F90="i686","i386",F90))&amp;"/")</f>
        <v>http://mirror.kakao.com/centos/7/os/x86_64/Packages/</v>
      </c>
      <c r="C90" s="20" t="str">
        <f t="shared" si="6"/>
        <v/>
      </c>
      <c r="D90" t="s">
        <v>118</v>
      </c>
      <c r="E90" s="20" t="s">
        <v>104</v>
      </c>
      <c r="F90" t="s">
        <v>103</v>
      </c>
      <c r="G90">
        <f t="shared" si="7"/>
        <v>1</v>
      </c>
      <c r="I90" t="str">
        <f t="shared" si="8"/>
        <v>perl-Encode*el7*x86_64.rpm</v>
      </c>
      <c r="J90" t="s">
        <v>280</v>
      </c>
    </row>
    <row r="91" spans="2:10" x14ac:dyDescent="0.3">
      <c r="B91" t="str">
        <f>IF(C91&lt;&gt;"","https://download.postgresql.org",[2]Main!$J$28)&amp;IF(C91="",IF(E91&lt;&gt;"8","/"&amp;E91&amp;"/os/"&amp;IF(OR(E91="8",E91="7"),"x86_64",IF(F91="noarch","x86_64",IF(E91&lt;&gt;"6",F91,IF(F91="i686","i386",F91))))&amp;"/Packages/","/"&amp;E91&amp;"/"&amp;IF(OR(AND(E91="8",LEFT(D91,6)="python"),AND(E91="8",LEFT(D91,17)="redhat-rpm-config")),"AppStream","BaseOS")&amp;"/"&amp;IF(OR(E91="8",E91="7"),"x86_64",IF(F91="noarch","x86_64",IF(E91&lt;&gt;"6",F91,IF(F91="i686","i386",F91))))&amp;"/os/Packages/"),"/pub/repos/yum/"&amp;C91&amp;"/redhat/rhel-"&amp;E91&amp;IF(E91&lt;&gt;"8","Server","")&amp;"-"&amp;IF(E91&lt;&gt;"6",F91,IF(F91="i686","i386",F91))&amp;"/")</f>
        <v>http://mirror.kakao.com/centos/7/os/x86_64/Packages/</v>
      </c>
      <c r="C91" s="20" t="str">
        <f t="shared" si="6"/>
        <v/>
      </c>
      <c r="D91" t="s">
        <v>119</v>
      </c>
      <c r="E91" s="20" t="s">
        <v>104</v>
      </c>
      <c r="F91" t="s">
        <v>103</v>
      </c>
      <c r="G91">
        <f t="shared" si="7"/>
        <v>1</v>
      </c>
      <c r="I91" t="str">
        <f t="shared" si="8"/>
        <v>perl-Filter*el7*x86_64.rpm</v>
      </c>
      <c r="J91" t="s">
        <v>198</v>
      </c>
    </row>
    <row r="92" spans="2:10" x14ac:dyDescent="0.3">
      <c r="B92" t="str">
        <f>IF(C92&lt;&gt;"","https://download.postgresql.org",[2]Main!$J$28)&amp;IF(C92="",IF(E92&lt;&gt;"8","/"&amp;E92&amp;"/os/"&amp;IF(OR(E92="8",E92="7"),"x86_64",IF(F92="noarch","x86_64",IF(E92&lt;&gt;"6",F92,IF(F92="i686","i386",F92))))&amp;"/Packages/","/"&amp;E92&amp;"/"&amp;IF(OR(AND(E92="8",LEFT(D92,6)="python"),AND(E92="8",LEFT(D92,17)="redhat-rpm-config")),"AppStream","BaseOS")&amp;"/"&amp;IF(OR(E92="8",E92="7"),"x86_64",IF(F92="noarch","x86_64",IF(E92&lt;&gt;"6",F92,IF(F92="i686","i386",F92))))&amp;"/os/Packages/"),"/pub/repos/yum/"&amp;C92&amp;"/redhat/rhel-"&amp;E92&amp;IF(E92&lt;&gt;"8","Server","")&amp;"-"&amp;IF(E92&lt;&gt;"6",F92,IF(F92="i686","i386",F92))&amp;"/")</f>
        <v>http://mirror.kakao.com/centos/7/os/x86_64/Packages/</v>
      </c>
      <c r="C92" s="20" t="str">
        <f t="shared" si="6"/>
        <v/>
      </c>
      <c r="D92" t="s">
        <v>72</v>
      </c>
      <c r="E92" s="20" t="s">
        <v>104</v>
      </c>
      <c r="F92" t="s">
        <v>103</v>
      </c>
      <c r="G92">
        <f t="shared" si="7"/>
        <v>1</v>
      </c>
      <c r="I92" t="str">
        <f t="shared" si="8"/>
        <v>perl-libs*el7*x86_64.rpm</v>
      </c>
      <c r="J92" t="s">
        <v>199</v>
      </c>
    </row>
    <row r="93" spans="2:10" x14ac:dyDescent="0.3">
      <c r="B93" t="str">
        <f>IF(C93&lt;&gt;"","https://download.postgresql.org",[2]Main!$J$28)&amp;IF(C93="",IF(E93&lt;&gt;"8","/"&amp;E93&amp;"/os/"&amp;IF(OR(E93="8",E93="7"),"x86_64",IF(F93="noarch","x86_64",IF(E93&lt;&gt;"6",F93,IF(F93="i686","i386",F93))))&amp;"/Packages/","/"&amp;E93&amp;"/"&amp;IF(OR(AND(E93="8",LEFT(D93,6)="python"),AND(E93="8",LEFT(D93,17)="redhat-rpm-config")),"AppStream","BaseOS")&amp;"/"&amp;IF(OR(E93="8",E93="7"),"x86_64",IF(F93="noarch","x86_64",IF(E93&lt;&gt;"6",F93,IF(F93="i686","i386",F93))))&amp;"/os/Packages/"),"/pub/repos/yum/"&amp;C93&amp;"/redhat/rhel-"&amp;E93&amp;IF(E93&lt;&gt;"8","Server","")&amp;"-"&amp;IF(E93&lt;&gt;"6",F93,IF(F93="i686","i386",F93))&amp;"/")</f>
        <v>http://mirror.kakao.com/centos/7/os/x86_64/Packages/</v>
      </c>
      <c r="C93" s="20" t="str">
        <f t="shared" si="6"/>
        <v/>
      </c>
      <c r="D93" t="s">
        <v>120</v>
      </c>
      <c r="E93" s="20" t="s">
        <v>104</v>
      </c>
      <c r="F93" t="s">
        <v>103</v>
      </c>
      <c r="G93">
        <f t="shared" si="7"/>
        <v>1</v>
      </c>
      <c r="I93" t="str">
        <f t="shared" si="8"/>
        <v>perl-macros*el7*x86_64.rpm</v>
      </c>
      <c r="J93" t="s">
        <v>200</v>
      </c>
    </row>
    <row r="94" spans="2:10" x14ac:dyDescent="0.3">
      <c r="B94" t="str">
        <f>IF(C94&lt;&gt;"","https://download.postgresql.org",[2]Main!$J$28)&amp;IF(C94="",IF(E94&lt;&gt;"8","/"&amp;E94&amp;"/os/"&amp;IF(OR(E94="8",E94="7"),"x86_64",IF(F94="noarch","x86_64",IF(E94&lt;&gt;"6",F94,IF(F94="i686","i386",F94))))&amp;"/Packages/","/"&amp;E94&amp;"/"&amp;IF(OR(AND(E94="8",LEFT(D94,6)="python"),AND(E94="8",LEFT(D94,17)="redhat-rpm-config")),"AppStream","BaseOS")&amp;"/"&amp;IF(OR(E94="8",E94="7"),"x86_64",IF(F94="noarch","x86_64",IF(E94&lt;&gt;"6",F94,IF(F94="i686","i386",F94))))&amp;"/os/Packages/"),"/pub/repos/yum/"&amp;C94&amp;"/redhat/rhel-"&amp;E94&amp;IF(E94&lt;&gt;"8","Server","")&amp;"-"&amp;IF(E94&lt;&gt;"6",F94,IF(F94="i686","i386",F94))&amp;"/")</f>
        <v>http://mirror.kakao.com/centos/7/os/x86_64/Packages/</v>
      </c>
      <c r="C94" s="20" t="str">
        <f t="shared" si="6"/>
        <v/>
      </c>
      <c r="D94" t="s">
        <v>121</v>
      </c>
      <c r="E94" s="20" t="s">
        <v>104</v>
      </c>
      <c r="F94" t="s">
        <v>103</v>
      </c>
      <c r="G94">
        <f t="shared" si="7"/>
        <v>1</v>
      </c>
      <c r="I94" t="str">
        <f t="shared" si="8"/>
        <v>perl-PathTools*el7*x86_64.rpm</v>
      </c>
      <c r="J94" t="s">
        <v>201</v>
      </c>
    </row>
    <row r="95" spans="2:10" x14ac:dyDescent="0.3">
      <c r="B95" t="str">
        <f>IF(C95&lt;&gt;"","https://download.postgresql.org",[2]Main!$J$28)&amp;IF(C95="",IF(E95&lt;&gt;"8","/"&amp;E95&amp;"/os/"&amp;IF(OR(E95="8",E95="7"),"x86_64",IF(F95="noarch","x86_64",IF(E95&lt;&gt;"6",F95,IF(F95="i686","i386",F95))))&amp;"/Packages/","/"&amp;E95&amp;"/"&amp;IF(OR(AND(E95="8",LEFT(D95,6)="python"),AND(E95="8",LEFT(D95,17)="redhat-rpm-config")),"AppStream","BaseOS")&amp;"/"&amp;IF(OR(E95="8",E95="7"),"x86_64",IF(F95="noarch","x86_64",IF(E95&lt;&gt;"6",F95,IF(F95="i686","i386",F95))))&amp;"/os/Packages/"),"/pub/repos/yum/"&amp;C95&amp;"/redhat/rhel-"&amp;E95&amp;IF(E95&lt;&gt;"8","Server","")&amp;"-"&amp;IF(E95&lt;&gt;"6",F95,IF(F95="i686","i386",F95))&amp;"/")</f>
        <v>http://mirror.kakao.com/centos/7/os/x86_64/Packages/</v>
      </c>
      <c r="C95" s="20" t="str">
        <f t="shared" si="6"/>
        <v/>
      </c>
      <c r="D95" t="s">
        <v>122</v>
      </c>
      <c r="E95" s="20" t="s">
        <v>104</v>
      </c>
      <c r="F95" t="s">
        <v>103</v>
      </c>
      <c r="G95">
        <f t="shared" si="7"/>
        <v>1</v>
      </c>
      <c r="I95" t="str">
        <f t="shared" si="8"/>
        <v>perl-Scalar-List-Utils*el7*x86_64.rpm</v>
      </c>
      <c r="J95" t="s">
        <v>202</v>
      </c>
    </row>
    <row r="96" spans="2:10" x14ac:dyDescent="0.3">
      <c r="B96" t="str">
        <f>IF(C96&lt;&gt;"","https://download.postgresql.org",[2]Main!$J$28)&amp;IF(C96="",IF(E96&lt;&gt;"8","/"&amp;E96&amp;"/os/"&amp;IF(OR(E96="8",E96="7"),"x86_64",IF(F96="noarch","x86_64",IF(E96&lt;&gt;"6",F96,IF(F96="i686","i386",F96))))&amp;"/Packages/","/"&amp;E96&amp;"/"&amp;IF(OR(AND(E96="8",LEFT(D96,6)="python"),AND(E96="8",LEFT(D96,17)="redhat-rpm-config")),"AppStream","BaseOS")&amp;"/"&amp;IF(OR(E96="8",E96="7"),"x86_64",IF(F96="noarch","x86_64",IF(E96&lt;&gt;"6",F96,IF(F96="i686","i386",F96))))&amp;"/os/Packages/"),"/pub/repos/yum/"&amp;C96&amp;"/redhat/rhel-"&amp;E96&amp;IF(E96&lt;&gt;"8","Server","")&amp;"-"&amp;IF(E96&lt;&gt;"6",F96,IF(F96="i686","i386",F96))&amp;"/")</f>
        <v>http://mirror.kakao.com/centos/7/os/x86_64/Packages/</v>
      </c>
      <c r="C96" s="20" t="str">
        <f t="shared" si="6"/>
        <v/>
      </c>
      <c r="D96" t="s">
        <v>123</v>
      </c>
      <c r="E96" s="20" t="s">
        <v>104</v>
      </c>
      <c r="F96" t="s">
        <v>103</v>
      </c>
      <c r="G96">
        <f t="shared" si="7"/>
        <v>1</v>
      </c>
      <c r="I96" t="str">
        <f t="shared" si="8"/>
        <v>perl-Socket*el7*x86_64.rpm</v>
      </c>
      <c r="J96" t="s">
        <v>281</v>
      </c>
    </row>
    <row r="97" spans="2:10" x14ac:dyDescent="0.3">
      <c r="B97" t="str">
        <f>IF(C97&lt;&gt;"","https://download.postgresql.org",[2]Main!$J$28)&amp;IF(C97="",IF(E97&lt;&gt;"8","/"&amp;E97&amp;"/os/"&amp;IF(OR(E97="8",E97="7"),"x86_64",IF(F97="noarch","x86_64",IF(E97&lt;&gt;"6",F97,IF(F97="i686","i386",F97))))&amp;"/Packages/","/"&amp;E97&amp;"/"&amp;IF(OR(AND(E97="8",LEFT(D97,6)="python"),AND(E97="8",LEFT(D97,17)="redhat-rpm-config")),"AppStream","BaseOS")&amp;"/"&amp;IF(OR(E97="8",E97="7"),"x86_64",IF(F97="noarch","x86_64",IF(E97&lt;&gt;"6",F97,IF(F97="i686","i386",F97))))&amp;"/os/Packages/"),"/pub/repos/yum/"&amp;C97&amp;"/redhat/rhel-"&amp;E97&amp;IF(E97&lt;&gt;"8","Server","")&amp;"-"&amp;IF(E97&lt;&gt;"6",F97,IF(F97="i686","i386",F97))&amp;"/")</f>
        <v>http://mirror.kakao.com/centos/7/os/x86_64/Packages/</v>
      </c>
      <c r="C97" s="20" t="str">
        <f t="shared" si="6"/>
        <v/>
      </c>
      <c r="D97" t="s">
        <v>124</v>
      </c>
      <c r="E97" s="20" t="s">
        <v>104</v>
      </c>
      <c r="F97" t="s">
        <v>103</v>
      </c>
      <c r="G97">
        <f t="shared" si="7"/>
        <v>1</v>
      </c>
      <c r="I97" t="str">
        <f t="shared" si="8"/>
        <v>perl-Storable*el7*x86_64.rpm</v>
      </c>
      <c r="J97" t="s">
        <v>203</v>
      </c>
    </row>
    <row r="98" spans="2:10" x14ac:dyDescent="0.3">
      <c r="B98" t="str">
        <f>IF(C98&lt;&gt;"","https://download.postgresql.org",[2]Main!$J$28)&amp;IF(C98="",IF(E98&lt;&gt;"8","/"&amp;E98&amp;"/os/"&amp;IF(OR(E98="8",E98="7"),"x86_64",IF(F98="noarch","x86_64",IF(E98&lt;&gt;"6",F98,IF(F98="i686","i386",F98))))&amp;"/Packages/","/"&amp;E98&amp;"/"&amp;IF(OR(AND(E98="8",LEFT(D98,6)="python"),AND(E98="8",LEFT(D98,17)="redhat-rpm-config")),"AppStream","BaseOS")&amp;"/"&amp;IF(OR(E98="8",E98="7"),"x86_64",IF(F98="noarch","x86_64",IF(E98&lt;&gt;"6",F98,IF(F98="i686","i386",F98))))&amp;"/os/Packages/"),"/pub/repos/yum/"&amp;C98&amp;"/redhat/rhel-"&amp;E98&amp;IF(E98&lt;&gt;"8","Server","")&amp;"-"&amp;IF(E98&lt;&gt;"6",F98,IF(F98="i686","i386",F98))&amp;"/")</f>
        <v>http://mirror.kakao.com/centos/7/os/x86_64/Packages/</v>
      </c>
      <c r="C98" s="20" t="str">
        <f t="shared" ref="C98:C129" si="9">IF(IF(LEFT(D98,10)="postgresql",RIGHT(LEFT(D98,12),2),"")&gt;"90",IF(LEFT(D98,10)="postgresql",RIGHT(LEFT(D98,12),2),"")/10,IF(LEFT(D98,10)="postgresql",RIGHT(LEFT(D98,12),2),""))</f>
        <v/>
      </c>
      <c r="D98" t="s">
        <v>125</v>
      </c>
      <c r="E98" s="20" t="s">
        <v>104</v>
      </c>
      <c r="F98" t="s">
        <v>103</v>
      </c>
      <c r="G98">
        <f t="shared" ref="G98:G129" si="10">IF(B98=B99,1,0)</f>
        <v>1</v>
      </c>
      <c r="I98" t="str">
        <f t="shared" ref="I98:I129" si="11">D98&amp;"*"&amp;IF(C98&lt;&gt;"","rhel","el")&amp;E98&amp;"*"&amp;F98&amp;".rpm"</f>
        <v>perl-threads*el7*x86_64.rpm</v>
      </c>
      <c r="J98" t="s">
        <v>282</v>
      </c>
    </row>
    <row r="99" spans="2:10" x14ac:dyDescent="0.3">
      <c r="B99" t="str">
        <f>IF(C99&lt;&gt;"","https://download.postgresql.org",[2]Main!$J$28)&amp;IF(C99="",IF(E99&lt;&gt;"8","/"&amp;E99&amp;"/os/"&amp;IF(OR(E99="8",E99="7"),"x86_64",IF(F99="noarch","x86_64",IF(E99&lt;&gt;"6",F99,IF(F99="i686","i386",F99))))&amp;"/Packages/","/"&amp;E99&amp;"/"&amp;IF(OR(AND(E99="8",LEFT(D99,6)="python"),AND(E99="8",LEFT(D99,17)="redhat-rpm-config")),"AppStream","BaseOS")&amp;"/"&amp;IF(OR(E99="8",E99="7"),"x86_64",IF(F99="noarch","x86_64",IF(E99&lt;&gt;"6",F99,IF(F99="i686","i386",F99))))&amp;"/os/Packages/"),"/pub/repos/yum/"&amp;C99&amp;"/redhat/rhel-"&amp;E99&amp;IF(E99&lt;&gt;"8","Server","")&amp;"-"&amp;IF(E99&lt;&gt;"6",F99,IF(F99="i686","i386",F99))&amp;"/")</f>
        <v>http://mirror.kakao.com/centos/7/os/x86_64/Packages/</v>
      </c>
      <c r="C99" s="20" t="str">
        <f t="shared" si="9"/>
        <v/>
      </c>
      <c r="D99" t="s">
        <v>126</v>
      </c>
      <c r="E99" s="20" t="s">
        <v>104</v>
      </c>
      <c r="F99" t="s">
        <v>103</v>
      </c>
      <c r="G99">
        <f t="shared" si="10"/>
        <v>1</v>
      </c>
      <c r="I99" t="str">
        <f t="shared" si="11"/>
        <v>perl-threads-shared*el7*x86_64.rpm</v>
      </c>
      <c r="J99" t="s">
        <v>204</v>
      </c>
    </row>
    <row r="100" spans="2:10" x14ac:dyDescent="0.3">
      <c r="B100" t="str">
        <f>IF(C100&lt;&gt;"","https://download.postgresql.org",[2]Main!$J$28)&amp;IF(C100="",IF(E100&lt;&gt;"8","/"&amp;E100&amp;"/os/"&amp;IF(OR(E100="8",E100="7"),"x86_64",IF(F100="noarch","x86_64",IF(E100&lt;&gt;"6",F100,IF(F100="i686","i386",F100))))&amp;"/Packages/","/"&amp;E100&amp;"/"&amp;IF(OR(AND(E100="8",LEFT(D100,6)="python"),AND(E100="8",LEFT(D100,17)="redhat-rpm-config")),"AppStream","BaseOS")&amp;"/"&amp;IF(OR(E100="8",E100="7"),"x86_64",IF(F100="noarch","x86_64",IF(E100&lt;&gt;"6",F100,IF(F100="i686","i386",F100))))&amp;"/os/Packages/"),"/pub/repos/yum/"&amp;C100&amp;"/redhat/rhel-"&amp;E100&amp;IF(E100&lt;&gt;"8","Server","")&amp;"-"&amp;IF(E100&lt;&gt;"6",F100,IF(F100="i686","i386",F100))&amp;"/")</f>
        <v>http://mirror.kakao.com/centos/7/os/x86_64/Packages/</v>
      </c>
      <c r="C100" s="20" t="str">
        <f t="shared" si="9"/>
        <v/>
      </c>
      <c r="D100" t="s">
        <v>127</v>
      </c>
      <c r="E100" s="20" t="s">
        <v>104</v>
      </c>
      <c r="F100" t="s">
        <v>103</v>
      </c>
      <c r="G100">
        <f t="shared" si="10"/>
        <v>1</v>
      </c>
      <c r="I100" t="str">
        <f t="shared" si="11"/>
        <v>perl-Time-HiRes*el7*x86_64.rpm</v>
      </c>
      <c r="J100" t="s">
        <v>205</v>
      </c>
    </row>
    <row r="101" spans="2:10" x14ac:dyDescent="0.3">
      <c r="B101" t="str">
        <f>IF(C101&lt;&gt;"","https://download.postgresql.org",[2]Main!$J$28)&amp;IF(C101="",IF(E101&lt;&gt;"8","/"&amp;E101&amp;"/os/"&amp;IF(OR(E101="8",E101="7"),"x86_64",IF(F101="noarch","x86_64",IF(E101&lt;&gt;"6",F101,IF(F101="i686","i386",F101))))&amp;"/Packages/","/"&amp;E101&amp;"/"&amp;IF(OR(AND(E101="8",LEFT(D101,6)="python"),AND(E101="8",LEFT(D101,17)="redhat-rpm-config")),"AppStream","BaseOS")&amp;"/"&amp;IF(OR(E101="8",E101="7"),"x86_64",IF(F101="noarch","x86_64",IF(E101&lt;&gt;"6",F101,IF(F101="i686","i386",F101))))&amp;"/os/Packages/"),"/pub/repos/yum/"&amp;C101&amp;"/redhat/rhel-"&amp;E101&amp;IF(E101&lt;&gt;"8","Server","")&amp;"-"&amp;IF(E101&lt;&gt;"6",F101,IF(F101="i686","i386",F101))&amp;"/")</f>
        <v>http://mirror.kakao.com/centos/7/os/x86_64/Packages/</v>
      </c>
      <c r="C101" s="20" t="str">
        <f t="shared" si="9"/>
        <v/>
      </c>
      <c r="D101" t="s">
        <v>76</v>
      </c>
      <c r="E101" s="20" t="s">
        <v>104</v>
      </c>
      <c r="F101" t="s">
        <v>103</v>
      </c>
      <c r="G101">
        <f t="shared" si="10"/>
        <v>0</v>
      </c>
      <c r="I101" t="str">
        <f t="shared" si="11"/>
        <v>perl-version*el7*x86_64.rpm</v>
      </c>
      <c r="J101" t="s">
        <v>206</v>
      </c>
    </row>
    <row r="102" spans="2:10" x14ac:dyDescent="0.3">
      <c r="B102" t="str">
        <f>IF(C102&lt;&gt;"","https://download.postgresql.org",[2]Main!$J$28)&amp;IF(C102="",IF(E102&lt;&gt;"8","/"&amp;E102&amp;"/os/"&amp;IF(OR(E102="8",E102="7"),"x86_64",IF(F102="noarch","x86_64",IF(E102&lt;&gt;"6",F102,IF(F102="i686","i386",F102))))&amp;"/Packages/","/"&amp;E102&amp;"/"&amp;IF(OR(AND(E102="8",LEFT(D102,6)="python"),AND(E102="8",LEFT(D102,17)="redhat-rpm-config")),"AppStream","BaseOS")&amp;"/"&amp;IF(OR(E102="8",E102="7"),"x86_64",IF(F102="noarch","x86_64",IF(E102&lt;&gt;"6",F102,IF(F102="i686","i386",F102))))&amp;"/os/Packages/"),"/pub/repos/yum/"&amp;C102&amp;"/redhat/rhel-"&amp;E102&amp;IF(E102&lt;&gt;"8","Server","")&amp;"-"&amp;IF(E102&lt;&gt;"6",F102,IF(F102="i686","i386",F102))&amp;"/")</f>
        <v>https://download.postgresql.org/pub/repos/yum/10/redhat/rhel-7Server-x86_64/</v>
      </c>
      <c r="C102" s="20" t="str">
        <f t="shared" si="9"/>
        <v>10</v>
      </c>
      <c r="D102" t="s">
        <v>77</v>
      </c>
      <c r="E102" s="20" t="s">
        <v>104</v>
      </c>
      <c r="F102" t="s">
        <v>103</v>
      </c>
      <c r="G102">
        <f t="shared" si="10"/>
        <v>1</v>
      </c>
      <c r="I102" t="str">
        <f t="shared" si="11"/>
        <v>postgresql10*rhel7*x86_64.rpm</v>
      </c>
      <c r="J102" t="s">
        <v>260</v>
      </c>
    </row>
    <row r="103" spans="2:10" x14ac:dyDescent="0.3">
      <c r="B103" t="str">
        <f>IF(C103&lt;&gt;"","https://download.postgresql.org",[2]Main!$J$28)&amp;IF(C103="",IF(E103&lt;&gt;"8","/"&amp;E103&amp;"/os/"&amp;IF(OR(E103="8",E103="7"),"x86_64",IF(F103="noarch","x86_64",IF(E103&lt;&gt;"6",F103,IF(F103="i686","i386",F103))))&amp;"/Packages/","/"&amp;E103&amp;"/"&amp;IF(OR(AND(E103="8",LEFT(D103,6)="python"),AND(E103="8",LEFT(D103,17)="redhat-rpm-config")),"AppStream","BaseOS")&amp;"/"&amp;IF(OR(E103="8",E103="7"),"x86_64",IF(F103="noarch","x86_64",IF(E103&lt;&gt;"6",F103,IF(F103="i686","i386",F103))))&amp;"/os/Packages/"),"/pub/repos/yum/"&amp;C103&amp;"/redhat/rhel-"&amp;E103&amp;IF(E103&lt;&gt;"8","Server","")&amp;"-"&amp;IF(E103&lt;&gt;"6",F103,IF(F103="i686","i386",F103))&amp;"/")</f>
        <v>https://download.postgresql.org/pub/repos/yum/10/redhat/rhel-7Server-x86_64/</v>
      </c>
      <c r="C103" s="20" t="str">
        <f t="shared" si="9"/>
        <v>10</v>
      </c>
      <c r="D103" t="s">
        <v>78</v>
      </c>
      <c r="E103" s="20" t="s">
        <v>104</v>
      </c>
      <c r="F103" t="s">
        <v>103</v>
      </c>
      <c r="G103">
        <f t="shared" si="10"/>
        <v>1</v>
      </c>
      <c r="I103" t="str">
        <f t="shared" si="11"/>
        <v>postgresql10-contrib*rhel7*x86_64.rpm</v>
      </c>
      <c r="J103" t="s">
        <v>207</v>
      </c>
    </row>
    <row r="104" spans="2:10" x14ac:dyDescent="0.3">
      <c r="B104" t="str">
        <f>IF(C104&lt;&gt;"","https://download.postgresql.org",[2]Main!$J$28)&amp;IF(C104="",IF(E104&lt;&gt;"8","/"&amp;E104&amp;"/os/"&amp;IF(OR(E104="8",E104="7"),"x86_64",IF(F104="noarch","x86_64",IF(E104&lt;&gt;"6",F104,IF(F104="i686","i386",F104))))&amp;"/Packages/","/"&amp;E104&amp;"/"&amp;IF(OR(AND(E104="8",LEFT(D104,6)="python"),AND(E104="8",LEFT(D104,17)="redhat-rpm-config")),"AppStream","BaseOS")&amp;"/"&amp;IF(OR(E104="8",E104="7"),"x86_64",IF(F104="noarch","x86_64",IF(E104&lt;&gt;"6",F104,IF(F104="i686","i386",F104))))&amp;"/os/Packages/"),"/pub/repos/yum/"&amp;C104&amp;"/redhat/rhel-"&amp;E104&amp;IF(E104&lt;&gt;"8","Server","")&amp;"-"&amp;IF(E104&lt;&gt;"6",F104,IF(F104="i686","i386",F104))&amp;"/")</f>
        <v>https://download.postgresql.org/pub/repos/yum/10/redhat/rhel-7Server-x86_64/</v>
      </c>
      <c r="C104" s="20" t="str">
        <f t="shared" si="9"/>
        <v>10</v>
      </c>
      <c r="D104" t="s">
        <v>79</v>
      </c>
      <c r="E104" s="20" t="s">
        <v>104</v>
      </c>
      <c r="F104" t="s">
        <v>103</v>
      </c>
      <c r="G104">
        <f t="shared" si="10"/>
        <v>1</v>
      </c>
      <c r="I104" t="str">
        <f t="shared" si="11"/>
        <v>postgresql10-libs*rhel7*x86_64.rpm</v>
      </c>
      <c r="J104" t="s">
        <v>208</v>
      </c>
    </row>
    <row r="105" spans="2:10" x14ac:dyDescent="0.3">
      <c r="B105" t="str">
        <f>IF(C105&lt;&gt;"","https://download.postgresql.org",[2]Main!$J$28)&amp;IF(C105="",IF(E105&lt;&gt;"8","/"&amp;E105&amp;"/os/"&amp;IF(OR(E105="8",E105="7"),"x86_64",IF(F105="noarch","x86_64",IF(E105&lt;&gt;"6",F105,IF(F105="i686","i386",F105))))&amp;"/Packages/","/"&amp;E105&amp;"/"&amp;IF(OR(AND(E105="8",LEFT(D105,6)="python"),AND(E105="8",LEFT(D105,17)="redhat-rpm-config")),"AppStream","BaseOS")&amp;"/"&amp;IF(OR(E105="8",E105="7"),"x86_64",IF(F105="noarch","x86_64",IF(E105&lt;&gt;"6",F105,IF(F105="i686","i386",F105))))&amp;"/os/Packages/"),"/pub/repos/yum/"&amp;C105&amp;"/redhat/rhel-"&amp;E105&amp;IF(E105&lt;&gt;"8","Server","")&amp;"-"&amp;IF(E105&lt;&gt;"6",F105,IF(F105="i686","i386",F105))&amp;"/")</f>
        <v>https://download.postgresql.org/pub/repos/yum/10/redhat/rhel-7Server-x86_64/</v>
      </c>
      <c r="C105" s="20" t="str">
        <f t="shared" si="9"/>
        <v>10</v>
      </c>
      <c r="D105" t="s">
        <v>80</v>
      </c>
      <c r="E105" s="20" t="s">
        <v>104</v>
      </c>
      <c r="F105" t="s">
        <v>103</v>
      </c>
      <c r="G105">
        <f t="shared" si="10"/>
        <v>0</v>
      </c>
      <c r="I105" t="str">
        <f t="shared" si="11"/>
        <v>postgresql10-server*rhel7*x86_64.rpm</v>
      </c>
      <c r="J105" t="s">
        <v>209</v>
      </c>
    </row>
    <row r="106" spans="2:10" x14ac:dyDescent="0.3">
      <c r="B106" t="str">
        <f>IF(C106&lt;&gt;"","https://download.postgresql.org",[2]Main!$J$28)&amp;IF(C106="",IF(E106&lt;&gt;"8","/"&amp;E106&amp;"/os/"&amp;IF(OR(E106="8",E106="7"),"x86_64",IF(F106="noarch","x86_64",IF(E106&lt;&gt;"6",F106,IF(F106="i686","i386",F106))))&amp;"/Packages/","/"&amp;E106&amp;"/"&amp;IF(OR(AND(E106="8",LEFT(D106,6)="python"),AND(E106="8",LEFT(D106,17)="redhat-rpm-config")),"AppStream","BaseOS")&amp;"/"&amp;IF(OR(E106="8",E106="7"),"x86_64",IF(F106="noarch","x86_64",IF(E106&lt;&gt;"6",F106,IF(F106="i686","i386",F106))))&amp;"/os/Packages/"),"/pub/repos/yum/"&amp;C106&amp;"/redhat/rhel-"&amp;E106&amp;IF(E106&lt;&gt;"8","Server","")&amp;"-"&amp;IF(E106&lt;&gt;"6",F106,IF(F106="i686","i386",F106))&amp;"/")</f>
        <v>https://download.postgresql.org/pub/repos/yum/11/redhat/rhel-7Server-x86_64/</v>
      </c>
      <c r="C106" s="20" t="str">
        <f t="shared" si="9"/>
        <v>11</v>
      </c>
      <c r="D106" t="s">
        <v>81</v>
      </c>
      <c r="E106" s="20" t="s">
        <v>104</v>
      </c>
      <c r="F106" t="s">
        <v>103</v>
      </c>
      <c r="G106">
        <f t="shared" si="10"/>
        <v>1</v>
      </c>
      <c r="I106" t="str">
        <f t="shared" si="11"/>
        <v>postgresql11*rhel7*x86_64.rpm</v>
      </c>
      <c r="J106" t="s">
        <v>261</v>
      </c>
    </row>
    <row r="107" spans="2:10" x14ac:dyDescent="0.3">
      <c r="B107" t="str">
        <f>IF(C107&lt;&gt;"","https://download.postgresql.org",[2]Main!$J$28)&amp;IF(C107="",IF(E107&lt;&gt;"8","/"&amp;E107&amp;"/os/"&amp;IF(OR(E107="8",E107="7"),"x86_64",IF(F107="noarch","x86_64",IF(E107&lt;&gt;"6",F107,IF(F107="i686","i386",F107))))&amp;"/Packages/","/"&amp;E107&amp;"/"&amp;IF(OR(AND(E107="8",LEFT(D107,6)="python"),AND(E107="8",LEFT(D107,17)="redhat-rpm-config")),"AppStream","BaseOS")&amp;"/"&amp;IF(OR(E107="8",E107="7"),"x86_64",IF(F107="noarch","x86_64",IF(E107&lt;&gt;"6",F107,IF(F107="i686","i386",F107))))&amp;"/os/Packages/"),"/pub/repos/yum/"&amp;C107&amp;"/redhat/rhel-"&amp;E107&amp;IF(E107&lt;&gt;"8","Server","")&amp;"-"&amp;IF(E107&lt;&gt;"6",F107,IF(F107="i686","i386",F107))&amp;"/")</f>
        <v>https://download.postgresql.org/pub/repos/yum/11/redhat/rhel-7Server-x86_64/</v>
      </c>
      <c r="C107" s="20" t="str">
        <f t="shared" si="9"/>
        <v>11</v>
      </c>
      <c r="D107" t="s">
        <v>82</v>
      </c>
      <c r="E107" s="20" t="s">
        <v>104</v>
      </c>
      <c r="F107" t="s">
        <v>103</v>
      </c>
      <c r="G107">
        <f t="shared" si="10"/>
        <v>1</v>
      </c>
      <c r="I107" t="str">
        <f t="shared" si="11"/>
        <v>postgresql11-contrib*rhel7*x86_64.rpm</v>
      </c>
      <c r="J107" t="s">
        <v>210</v>
      </c>
    </row>
    <row r="108" spans="2:10" x14ac:dyDescent="0.3">
      <c r="B108" t="str">
        <f>IF(C108&lt;&gt;"","https://download.postgresql.org",[2]Main!$J$28)&amp;IF(C108="",IF(E108&lt;&gt;"8","/"&amp;E108&amp;"/os/"&amp;IF(OR(E108="8",E108="7"),"x86_64",IF(F108="noarch","x86_64",IF(E108&lt;&gt;"6",F108,IF(F108="i686","i386",F108))))&amp;"/Packages/","/"&amp;E108&amp;"/"&amp;IF(OR(AND(E108="8",LEFT(D108,6)="python"),AND(E108="8",LEFT(D108,17)="redhat-rpm-config")),"AppStream","BaseOS")&amp;"/"&amp;IF(OR(E108="8",E108="7"),"x86_64",IF(F108="noarch","x86_64",IF(E108&lt;&gt;"6",F108,IF(F108="i686","i386",F108))))&amp;"/os/Packages/"),"/pub/repos/yum/"&amp;C108&amp;"/redhat/rhel-"&amp;E108&amp;IF(E108&lt;&gt;"8","Server","")&amp;"-"&amp;IF(E108&lt;&gt;"6",F108,IF(F108="i686","i386",F108))&amp;"/")</f>
        <v>https://download.postgresql.org/pub/repos/yum/11/redhat/rhel-7Server-x86_64/</v>
      </c>
      <c r="C108" s="20" t="str">
        <f t="shared" si="9"/>
        <v>11</v>
      </c>
      <c r="D108" t="s">
        <v>83</v>
      </c>
      <c r="E108" s="20" t="s">
        <v>104</v>
      </c>
      <c r="F108" t="s">
        <v>103</v>
      </c>
      <c r="G108">
        <f t="shared" si="10"/>
        <v>1</v>
      </c>
      <c r="I108" t="str">
        <f t="shared" si="11"/>
        <v>postgresql11-libs*rhel7*x86_64.rpm</v>
      </c>
      <c r="J108" t="s">
        <v>211</v>
      </c>
    </row>
    <row r="109" spans="2:10" x14ac:dyDescent="0.3">
      <c r="B109" t="str">
        <f>IF(C109&lt;&gt;"","https://download.postgresql.org",[2]Main!$J$28)&amp;IF(C109="",IF(E109&lt;&gt;"8","/"&amp;E109&amp;"/os/"&amp;IF(OR(E109="8",E109="7"),"x86_64",IF(F109="noarch","x86_64",IF(E109&lt;&gt;"6",F109,IF(F109="i686","i386",F109))))&amp;"/Packages/","/"&amp;E109&amp;"/"&amp;IF(OR(AND(E109="8",LEFT(D109,6)="python"),AND(E109="8",LEFT(D109,17)="redhat-rpm-config")),"AppStream","BaseOS")&amp;"/"&amp;IF(OR(E109="8",E109="7"),"x86_64",IF(F109="noarch","x86_64",IF(E109&lt;&gt;"6",F109,IF(F109="i686","i386",F109))))&amp;"/os/Packages/"),"/pub/repos/yum/"&amp;C109&amp;"/redhat/rhel-"&amp;E109&amp;IF(E109&lt;&gt;"8","Server","")&amp;"-"&amp;IF(E109&lt;&gt;"6",F109,IF(F109="i686","i386",F109))&amp;"/")</f>
        <v>https://download.postgresql.org/pub/repos/yum/11/redhat/rhel-7Server-x86_64/</v>
      </c>
      <c r="C109" s="20" t="str">
        <f t="shared" si="9"/>
        <v>11</v>
      </c>
      <c r="D109" t="s">
        <v>84</v>
      </c>
      <c r="E109" s="20" t="s">
        <v>104</v>
      </c>
      <c r="F109" t="s">
        <v>103</v>
      </c>
      <c r="G109">
        <f t="shared" si="10"/>
        <v>0</v>
      </c>
      <c r="I109" t="str">
        <f t="shared" si="11"/>
        <v>postgresql11-server*rhel7*x86_64.rpm</v>
      </c>
      <c r="J109" t="s">
        <v>212</v>
      </c>
    </row>
    <row r="110" spans="2:10" x14ac:dyDescent="0.3">
      <c r="B110" t="str">
        <f>IF(C110&lt;&gt;"","https://download.postgresql.org",[2]Main!$J$28)&amp;IF(C110="",IF(E110&lt;&gt;"8","/"&amp;E110&amp;"/os/"&amp;IF(OR(E110="8",E110="7"),"x86_64",IF(F110="noarch","x86_64",IF(E110&lt;&gt;"6",F110,IF(F110="i686","i386",F110))))&amp;"/Packages/","/"&amp;E110&amp;"/"&amp;IF(OR(AND(E110="8",LEFT(D110,6)="python"),AND(E110="8",LEFT(D110,17)="redhat-rpm-config")),"AppStream","BaseOS")&amp;"/"&amp;IF(OR(E110="8",E110="7"),"x86_64",IF(F110="noarch","x86_64",IF(E110&lt;&gt;"6",F110,IF(F110="i686","i386",F110))))&amp;"/os/Packages/"),"/pub/repos/yum/"&amp;C110&amp;"/redhat/rhel-"&amp;E110&amp;IF(E110&lt;&gt;"8","Server","")&amp;"-"&amp;IF(E110&lt;&gt;"6",F110,IF(F110="i686","i386",F110))&amp;"/")</f>
        <v>https://download.postgresql.org/pub/repos/yum/12/redhat/rhel-7Server-x86_64/</v>
      </c>
      <c r="C110" s="20" t="str">
        <f t="shared" si="9"/>
        <v>12</v>
      </c>
      <c r="D110" t="s">
        <v>85</v>
      </c>
      <c r="E110" s="20" t="s">
        <v>104</v>
      </c>
      <c r="F110" t="s">
        <v>103</v>
      </c>
      <c r="G110">
        <f t="shared" si="10"/>
        <v>1</v>
      </c>
      <c r="I110" t="str">
        <f t="shared" si="11"/>
        <v>postgresql12*rhel7*x86_64.rpm</v>
      </c>
      <c r="J110" t="s">
        <v>384</v>
      </c>
    </row>
    <row r="111" spans="2:10" x14ac:dyDescent="0.3">
      <c r="B111" t="str">
        <f>IF(C111&lt;&gt;"","https://download.postgresql.org",[2]Main!$J$28)&amp;IF(C111="",IF(E111&lt;&gt;"8","/"&amp;E111&amp;"/os/"&amp;IF(OR(E111="8",E111="7"),"x86_64",IF(F111="noarch","x86_64",IF(E111&lt;&gt;"6",F111,IF(F111="i686","i386",F111))))&amp;"/Packages/","/"&amp;E111&amp;"/"&amp;IF(OR(AND(E111="8",LEFT(D111,6)="python"),AND(E111="8",LEFT(D111,17)="redhat-rpm-config")),"AppStream","BaseOS")&amp;"/"&amp;IF(OR(E111="8",E111="7"),"x86_64",IF(F111="noarch","x86_64",IF(E111&lt;&gt;"6",F111,IF(F111="i686","i386",F111))))&amp;"/os/Packages/"),"/pub/repos/yum/"&amp;C111&amp;"/redhat/rhel-"&amp;E111&amp;IF(E111&lt;&gt;"8","Server","")&amp;"-"&amp;IF(E111&lt;&gt;"6",F111,IF(F111="i686","i386",F111))&amp;"/")</f>
        <v>https://download.postgresql.org/pub/repos/yum/12/redhat/rhel-7Server-x86_64/</v>
      </c>
      <c r="C111" s="20" t="str">
        <f t="shared" si="9"/>
        <v>12</v>
      </c>
      <c r="D111" t="s">
        <v>86</v>
      </c>
      <c r="E111" s="20" t="s">
        <v>104</v>
      </c>
      <c r="F111" t="s">
        <v>103</v>
      </c>
      <c r="G111">
        <f t="shared" si="10"/>
        <v>1</v>
      </c>
      <c r="I111" t="str">
        <f t="shared" si="11"/>
        <v>postgresql12-contrib*rhel7*x86_64.rpm</v>
      </c>
      <c r="J111" t="s">
        <v>385</v>
      </c>
    </row>
    <row r="112" spans="2:10" x14ac:dyDescent="0.3">
      <c r="B112" t="str">
        <f>IF(C112&lt;&gt;"","https://download.postgresql.org",[2]Main!$J$28)&amp;IF(C112="",IF(E112&lt;&gt;"8","/"&amp;E112&amp;"/os/"&amp;IF(OR(E112="8",E112="7"),"x86_64",IF(F112="noarch","x86_64",IF(E112&lt;&gt;"6",F112,IF(F112="i686","i386",F112))))&amp;"/Packages/","/"&amp;E112&amp;"/"&amp;IF(OR(AND(E112="8",LEFT(D112,6)="python"),AND(E112="8",LEFT(D112,17)="redhat-rpm-config")),"AppStream","BaseOS")&amp;"/"&amp;IF(OR(E112="8",E112="7"),"x86_64",IF(F112="noarch","x86_64",IF(E112&lt;&gt;"6",F112,IF(F112="i686","i386",F112))))&amp;"/os/Packages/"),"/pub/repos/yum/"&amp;C112&amp;"/redhat/rhel-"&amp;E112&amp;IF(E112&lt;&gt;"8","Server","")&amp;"-"&amp;IF(E112&lt;&gt;"6",F112,IF(F112="i686","i386",F112))&amp;"/")</f>
        <v>https://download.postgresql.org/pub/repos/yum/12/redhat/rhel-7Server-x86_64/</v>
      </c>
      <c r="C112" s="20" t="str">
        <f t="shared" si="9"/>
        <v>12</v>
      </c>
      <c r="D112" t="s">
        <v>87</v>
      </c>
      <c r="E112" s="20" t="s">
        <v>104</v>
      </c>
      <c r="F112" t="s">
        <v>103</v>
      </c>
      <c r="G112">
        <f t="shared" si="10"/>
        <v>1</v>
      </c>
      <c r="I112" t="str">
        <f t="shared" si="11"/>
        <v>postgresql12-libs*rhel7*x86_64.rpm</v>
      </c>
      <c r="J112" t="s">
        <v>386</v>
      </c>
    </row>
    <row r="113" spans="2:10" x14ac:dyDescent="0.3">
      <c r="B113" t="str">
        <f>IF(C113&lt;&gt;"","https://download.postgresql.org",[2]Main!$J$28)&amp;IF(C113="",IF(E113&lt;&gt;"8","/"&amp;E113&amp;"/os/"&amp;IF(OR(E113="8",E113="7"),"x86_64",IF(F113="noarch","x86_64",IF(E113&lt;&gt;"6",F113,IF(F113="i686","i386",F113))))&amp;"/Packages/","/"&amp;E113&amp;"/"&amp;IF(OR(AND(E113="8",LEFT(D113,6)="python"),AND(E113="8",LEFT(D113,17)="redhat-rpm-config")),"AppStream","BaseOS")&amp;"/"&amp;IF(OR(E113="8",E113="7"),"x86_64",IF(F113="noarch","x86_64",IF(E113&lt;&gt;"6",F113,IF(F113="i686","i386",F113))))&amp;"/os/Packages/"),"/pub/repos/yum/"&amp;C113&amp;"/redhat/rhel-"&amp;E113&amp;IF(E113&lt;&gt;"8","Server","")&amp;"-"&amp;IF(E113&lt;&gt;"6",F113,IF(F113="i686","i386",F113))&amp;"/")</f>
        <v>https://download.postgresql.org/pub/repos/yum/12/redhat/rhel-7Server-x86_64/</v>
      </c>
      <c r="C113" s="20" t="str">
        <f t="shared" si="9"/>
        <v>12</v>
      </c>
      <c r="D113" t="s">
        <v>88</v>
      </c>
      <c r="E113" s="20" t="s">
        <v>104</v>
      </c>
      <c r="F113" t="s">
        <v>103</v>
      </c>
      <c r="G113">
        <f t="shared" si="10"/>
        <v>0</v>
      </c>
      <c r="I113" t="str">
        <f t="shared" si="11"/>
        <v>postgresql12-server*rhel7*x86_64.rpm</v>
      </c>
      <c r="J113" t="s">
        <v>387</v>
      </c>
    </row>
    <row r="114" spans="2:10" x14ac:dyDescent="0.3">
      <c r="B114" t="str">
        <f>IF(C114&lt;&gt;"","https://download.postgresql.org",[2]Main!$J$28)&amp;IF(C114="",IF(E114&lt;&gt;"8","/"&amp;E114&amp;"/os/"&amp;IF(OR(E114="8",E114="7"),"x86_64",IF(F114="noarch","x86_64",IF(E114&lt;&gt;"6",F114,IF(F114="i686","i386",F114))))&amp;"/Packages/","/"&amp;E114&amp;"/"&amp;IF(OR(AND(E114="8",LEFT(D114,6)="python"),AND(E114="8",LEFT(D114,17)="redhat-rpm-config")),"AppStream","BaseOS")&amp;"/"&amp;IF(OR(E114="8",E114="7"),"x86_64",IF(F114="noarch","x86_64",IF(E114&lt;&gt;"6",F114,IF(F114="i686","i386",F114))))&amp;"/os/Packages/"),"/pub/repos/yum/"&amp;C114&amp;"/redhat/rhel-"&amp;E114&amp;IF(E114&lt;&gt;"8","Server","")&amp;"-"&amp;IF(E114&lt;&gt;"6",F114,IF(F114="i686","i386",F114))&amp;"/")</f>
        <v>https://download.postgresql.org/pub/repos/yum/9.4/redhat/rhel-7Server-x86_64/</v>
      </c>
      <c r="C114" s="20">
        <f t="shared" si="9"/>
        <v>9.4</v>
      </c>
      <c r="D114" t="s">
        <v>89</v>
      </c>
      <c r="E114" s="20" t="s">
        <v>104</v>
      </c>
      <c r="F114" t="s">
        <v>103</v>
      </c>
      <c r="G114">
        <f t="shared" si="10"/>
        <v>1</v>
      </c>
      <c r="I114" t="str">
        <f t="shared" si="11"/>
        <v>postgresql94*rhel7*x86_64.rpm</v>
      </c>
      <c r="J114" t="s">
        <v>262</v>
      </c>
    </row>
    <row r="115" spans="2:10" x14ac:dyDescent="0.3">
      <c r="B115" t="str">
        <f>IF(C115&lt;&gt;"","https://download.postgresql.org",[2]Main!$J$28)&amp;IF(C115="",IF(E115&lt;&gt;"8","/"&amp;E115&amp;"/os/"&amp;IF(OR(E115="8",E115="7"),"x86_64",IF(F115="noarch","x86_64",IF(E115&lt;&gt;"6",F115,IF(F115="i686","i386",F115))))&amp;"/Packages/","/"&amp;E115&amp;"/"&amp;IF(OR(AND(E115="8",LEFT(D115,6)="python"),AND(E115="8",LEFT(D115,17)="redhat-rpm-config")),"AppStream","BaseOS")&amp;"/"&amp;IF(OR(E115="8",E115="7"),"x86_64",IF(F115="noarch","x86_64",IF(E115&lt;&gt;"6",F115,IF(F115="i686","i386",F115))))&amp;"/os/Packages/"),"/pub/repos/yum/"&amp;C115&amp;"/redhat/rhel-"&amp;E115&amp;IF(E115&lt;&gt;"8","Server","")&amp;"-"&amp;IF(E115&lt;&gt;"6",F115,IF(F115="i686","i386",F115))&amp;"/")</f>
        <v>https://download.postgresql.org/pub/repos/yum/9.4/redhat/rhel-7Server-x86_64/</v>
      </c>
      <c r="C115" s="20">
        <f t="shared" si="9"/>
        <v>9.4</v>
      </c>
      <c r="D115" t="s">
        <v>90</v>
      </c>
      <c r="E115" s="20" t="s">
        <v>104</v>
      </c>
      <c r="F115" t="s">
        <v>103</v>
      </c>
      <c r="G115">
        <f t="shared" si="10"/>
        <v>1</v>
      </c>
      <c r="I115" t="str">
        <f t="shared" si="11"/>
        <v>postgresql94-contrib*rhel7*x86_64.rpm</v>
      </c>
      <c r="J115" t="s">
        <v>213</v>
      </c>
    </row>
    <row r="116" spans="2:10" x14ac:dyDescent="0.3">
      <c r="B116" t="str">
        <f>IF(C116&lt;&gt;"","https://download.postgresql.org",[2]Main!$J$28)&amp;IF(C116="",IF(E116&lt;&gt;"8","/"&amp;E116&amp;"/os/"&amp;IF(OR(E116="8",E116="7"),"x86_64",IF(F116="noarch","x86_64",IF(E116&lt;&gt;"6",F116,IF(F116="i686","i386",F116))))&amp;"/Packages/","/"&amp;E116&amp;"/"&amp;IF(OR(AND(E116="8",LEFT(D116,6)="python"),AND(E116="8",LEFT(D116,17)="redhat-rpm-config")),"AppStream","BaseOS")&amp;"/"&amp;IF(OR(E116="8",E116="7"),"x86_64",IF(F116="noarch","x86_64",IF(E116&lt;&gt;"6",F116,IF(F116="i686","i386",F116))))&amp;"/os/Packages/"),"/pub/repos/yum/"&amp;C116&amp;"/redhat/rhel-"&amp;E116&amp;IF(E116&lt;&gt;"8","Server","")&amp;"-"&amp;IF(E116&lt;&gt;"6",F116,IF(F116="i686","i386",F116))&amp;"/")</f>
        <v>https://download.postgresql.org/pub/repos/yum/9.4/redhat/rhel-7Server-x86_64/</v>
      </c>
      <c r="C116" s="20">
        <f t="shared" si="9"/>
        <v>9.4</v>
      </c>
      <c r="D116" t="s">
        <v>91</v>
      </c>
      <c r="E116" s="20" t="s">
        <v>104</v>
      </c>
      <c r="F116" t="s">
        <v>103</v>
      </c>
      <c r="G116">
        <f t="shared" si="10"/>
        <v>1</v>
      </c>
      <c r="I116" t="str">
        <f t="shared" si="11"/>
        <v>postgresql94-libs*rhel7*x86_64.rpm</v>
      </c>
      <c r="J116" t="s">
        <v>214</v>
      </c>
    </row>
    <row r="117" spans="2:10" x14ac:dyDescent="0.3">
      <c r="B117" t="str">
        <f>IF(C117&lt;&gt;"","https://download.postgresql.org",[2]Main!$J$28)&amp;IF(C117="",IF(E117&lt;&gt;"8","/"&amp;E117&amp;"/os/"&amp;IF(OR(E117="8",E117="7"),"x86_64",IF(F117="noarch","x86_64",IF(E117&lt;&gt;"6",F117,IF(F117="i686","i386",F117))))&amp;"/Packages/","/"&amp;E117&amp;"/"&amp;IF(OR(AND(E117="8",LEFT(D117,6)="python"),AND(E117="8",LEFT(D117,17)="redhat-rpm-config")),"AppStream","BaseOS")&amp;"/"&amp;IF(OR(E117="8",E117="7"),"x86_64",IF(F117="noarch","x86_64",IF(E117&lt;&gt;"6",F117,IF(F117="i686","i386",F117))))&amp;"/os/Packages/"),"/pub/repos/yum/"&amp;C117&amp;"/redhat/rhel-"&amp;E117&amp;IF(E117&lt;&gt;"8","Server","")&amp;"-"&amp;IF(E117&lt;&gt;"6",F117,IF(F117="i686","i386",F117))&amp;"/")</f>
        <v>https://download.postgresql.org/pub/repos/yum/9.4/redhat/rhel-7Server-x86_64/</v>
      </c>
      <c r="C117" s="20">
        <f t="shared" si="9"/>
        <v>9.4</v>
      </c>
      <c r="D117" t="s">
        <v>92</v>
      </c>
      <c r="E117" s="20" t="s">
        <v>104</v>
      </c>
      <c r="F117" t="s">
        <v>103</v>
      </c>
      <c r="G117">
        <f t="shared" si="10"/>
        <v>0</v>
      </c>
      <c r="I117" t="str">
        <f t="shared" si="11"/>
        <v>postgresql94-server*rhel7*x86_64.rpm</v>
      </c>
      <c r="J117" t="s">
        <v>215</v>
      </c>
    </row>
    <row r="118" spans="2:10" x14ac:dyDescent="0.3">
      <c r="B118" t="str">
        <f>IF(C118&lt;&gt;"","https://download.postgresql.org",[2]Main!$J$28)&amp;IF(C118="",IF(E118&lt;&gt;"8","/"&amp;E118&amp;"/os/"&amp;IF(OR(E118="8",E118="7"),"x86_64",IF(F118="noarch","x86_64",IF(E118&lt;&gt;"6",F118,IF(F118="i686","i386",F118))))&amp;"/Packages/","/"&amp;E118&amp;"/"&amp;IF(OR(AND(E118="8",LEFT(D118,6)="python"),AND(E118="8",LEFT(D118,17)="redhat-rpm-config")),"AppStream","BaseOS")&amp;"/"&amp;IF(OR(E118="8",E118="7"),"x86_64",IF(F118="noarch","x86_64",IF(E118&lt;&gt;"6",F118,IF(F118="i686","i386",F118))))&amp;"/os/Packages/"),"/pub/repos/yum/"&amp;C118&amp;"/redhat/rhel-"&amp;E118&amp;IF(E118&lt;&gt;"8","Server","")&amp;"-"&amp;IF(E118&lt;&gt;"6",F118,IF(F118="i686","i386",F118))&amp;"/")</f>
        <v>https://download.postgresql.org/pub/repos/yum/9.5/redhat/rhel-7Server-x86_64/</v>
      </c>
      <c r="C118" s="20">
        <f t="shared" si="9"/>
        <v>9.5</v>
      </c>
      <c r="D118" t="s">
        <v>93</v>
      </c>
      <c r="E118" s="20" t="s">
        <v>104</v>
      </c>
      <c r="F118" t="s">
        <v>103</v>
      </c>
      <c r="G118">
        <f t="shared" si="10"/>
        <v>1</v>
      </c>
      <c r="I118" t="str">
        <f t="shared" si="11"/>
        <v>postgresql95*rhel7*x86_64.rpm</v>
      </c>
      <c r="J118" t="s">
        <v>263</v>
      </c>
    </row>
    <row r="119" spans="2:10" x14ac:dyDescent="0.3">
      <c r="B119" t="str">
        <f>IF(C119&lt;&gt;"","https://download.postgresql.org",[2]Main!$J$28)&amp;IF(C119="",IF(E119&lt;&gt;"8","/"&amp;E119&amp;"/os/"&amp;IF(OR(E119="8",E119="7"),"x86_64",IF(F119="noarch","x86_64",IF(E119&lt;&gt;"6",F119,IF(F119="i686","i386",F119))))&amp;"/Packages/","/"&amp;E119&amp;"/"&amp;IF(OR(AND(E119="8",LEFT(D119,6)="python"),AND(E119="8",LEFT(D119,17)="redhat-rpm-config")),"AppStream","BaseOS")&amp;"/"&amp;IF(OR(E119="8",E119="7"),"x86_64",IF(F119="noarch","x86_64",IF(E119&lt;&gt;"6",F119,IF(F119="i686","i386",F119))))&amp;"/os/Packages/"),"/pub/repos/yum/"&amp;C119&amp;"/redhat/rhel-"&amp;E119&amp;IF(E119&lt;&gt;"8","Server","")&amp;"-"&amp;IF(E119&lt;&gt;"6",F119,IF(F119="i686","i386",F119))&amp;"/")</f>
        <v>https://download.postgresql.org/pub/repos/yum/9.5/redhat/rhel-7Server-x86_64/</v>
      </c>
      <c r="C119" s="20">
        <f t="shared" si="9"/>
        <v>9.5</v>
      </c>
      <c r="D119" t="s">
        <v>94</v>
      </c>
      <c r="E119" s="20" t="s">
        <v>104</v>
      </c>
      <c r="F119" t="s">
        <v>103</v>
      </c>
      <c r="G119">
        <f t="shared" si="10"/>
        <v>1</v>
      </c>
      <c r="I119" t="str">
        <f t="shared" si="11"/>
        <v>postgresql95-contrib*rhel7*x86_64.rpm</v>
      </c>
      <c r="J119" t="s">
        <v>216</v>
      </c>
    </row>
    <row r="120" spans="2:10" x14ac:dyDescent="0.3">
      <c r="B120" t="str">
        <f>IF(C120&lt;&gt;"","https://download.postgresql.org",[2]Main!$J$28)&amp;IF(C120="",IF(E120&lt;&gt;"8","/"&amp;E120&amp;"/os/"&amp;IF(OR(E120="8",E120="7"),"x86_64",IF(F120="noarch","x86_64",IF(E120&lt;&gt;"6",F120,IF(F120="i686","i386",F120))))&amp;"/Packages/","/"&amp;E120&amp;"/"&amp;IF(OR(AND(E120="8",LEFT(D120,6)="python"),AND(E120="8",LEFT(D120,17)="redhat-rpm-config")),"AppStream","BaseOS")&amp;"/"&amp;IF(OR(E120="8",E120="7"),"x86_64",IF(F120="noarch","x86_64",IF(E120&lt;&gt;"6",F120,IF(F120="i686","i386",F120))))&amp;"/os/Packages/"),"/pub/repos/yum/"&amp;C120&amp;"/redhat/rhel-"&amp;E120&amp;IF(E120&lt;&gt;"8","Server","")&amp;"-"&amp;IF(E120&lt;&gt;"6",F120,IF(F120="i686","i386",F120))&amp;"/")</f>
        <v>https://download.postgresql.org/pub/repos/yum/9.5/redhat/rhel-7Server-x86_64/</v>
      </c>
      <c r="C120" s="20">
        <f t="shared" si="9"/>
        <v>9.5</v>
      </c>
      <c r="D120" t="s">
        <v>95</v>
      </c>
      <c r="E120" s="20" t="s">
        <v>104</v>
      </c>
      <c r="F120" t="s">
        <v>103</v>
      </c>
      <c r="G120">
        <f t="shared" si="10"/>
        <v>1</v>
      </c>
      <c r="I120" t="str">
        <f t="shared" si="11"/>
        <v>postgresql95-libs*rhel7*x86_64.rpm</v>
      </c>
      <c r="J120" t="s">
        <v>217</v>
      </c>
    </row>
    <row r="121" spans="2:10" x14ac:dyDescent="0.3">
      <c r="B121" t="str">
        <f>IF(C121&lt;&gt;"","https://download.postgresql.org",[2]Main!$J$28)&amp;IF(C121="",IF(E121&lt;&gt;"8","/"&amp;E121&amp;"/os/"&amp;IF(OR(E121="8",E121="7"),"x86_64",IF(F121="noarch","x86_64",IF(E121&lt;&gt;"6",F121,IF(F121="i686","i386",F121))))&amp;"/Packages/","/"&amp;E121&amp;"/"&amp;IF(OR(AND(E121="8",LEFT(D121,6)="python"),AND(E121="8",LEFT(D121,17)="redhat-rpm-config")),"AppStream","BaseOS")&amp;"/"&amp;IF(OR(E121="8",E121="7"),"x86_64",IF(F121="noarch","x86_64",IF(E121&lt;&gt;"6",F121,IF(F121="i686","i386",F121))))&amp;"/os/Packages/"),"/pub/repos/yum/"&amp;C121&amp;"/redhat/rhel-"&amp;E121&amp;IF(E121&lt;&gt;"8","Server","")&amp;"-"&amp;IF(E121&lt;&gt;"6",F121,IF(F121="i686","i386",F121))&amp;"/")</f>
        <v>https://download.postgresql.org/pub/repos/yum/9.5/redhat/rhel-7Server-x86_64/</v>
      </c>
      <c r="C121" s="20">
        <f t="shared" si="9"/>
        <v>9.5</v>
      </c>
      <c r="D121" t="s">
        <v>96</v>
      </c>
      <c r="E121" s="20" t="s">
        <v>104</v>
      </c>
      <c r="F121" t="s">
        <v>103</v>
      </c>
      <c r="G121">
        <f t="shared" si="10"/>
        <v>0</v>
      </c>
      <c r="I121" t="str">
        <f t="shared" si="11"/>
        <v>postgresql95-server*rhel7*x86_64.rpm</v>
      </c>
      <c r="J121" t="s">
        <v>218</v>
      </c>
    </row>
    <row r="122" spans="2:10" x14ac:dyDescent="0.3">
      <c r="B122" t="str">
        <f>IF(C122&lt;&gt;"","https://download.postgresql.org",[2]Main!$J$28)&amp;IF(C122="",IF(E122&lt;&gt;"8","/"&amp;E122&amp;"/os/"&amp;IF(OR(E122="8",E122="7"),"x86_64",IF(F122="noarch","x86_64",IF(E122&lt;&gt;"6",F122,IF(F122="i686","i386",F122))))&amp;"/Packages/","/"&amp;E122&amp;"/"&amp;IF(OR(AND(E122="8",LEFT(D122,6)="python"),AND(E122="8",LEFT(D122,17)="redhat-rpm-config")),"AppStream","BaseOS")&amp;"/"&amp;IF(OR(E122="8",E122="7"),"x86_64",IF(F122="noarch","x86_64",IF(E122&lt;&gt;"6",F122,IF(F122="i686","i386",F122))))&amp;"/os/Packages/"),"/pub/repos/yum/"&amp;C122&amp;"/redhat/rhel-"&amp;E122&amp;IF(E122&lt;&gt;"8","Server","")&amp;"-"&amp;IF(E122&lt;&gt;"6",F122,IF(F122="i686","i386",F122))&amp;"/")</f>
        <v>https://download.postgresql.org/pub/repos/yum/9.6/redhat/rhel-7Server-x86_64/</v>
      </c>
      <c r="C122" s="20">
        <f t="shared" si="9"/>
        <v>9.6</v>
      </c>
      <c r="D122" t="s">
        <v>97</v>
      </c>
      <c r="E122" s="20" t="s">
        <v>104</v>
      </c>
      <c r="F122" t="s">
        <v>103</v>
      </c>
      <c r="G122">
        <f t="shared" si="10"/>
        <v>1</v>
      </c>
      <c r="I122" t="str">
        <f t="shared" si="11"/>
        <v>postgresql96*rhel7*x86_64.rpm</v>
      </c>
      <c r="J122" t="s">
        <v>264</v>
      </c>
    </row>
    <row r="123" spans="2:10" x14ac:dyDescent="0.3">
      <c r="B123" t="str">
        <f>IF(C123&lt;&gt;"","https://download.postgresql.org",[2]Main!$J$28)&amp;IF(C123="",IF(E123&lt;&gt;"8","/"&amp;E123&amp;"/os/"&amp;IF(OR(E123="8",E123="7"),"x86_64",IF(F123="noarch","x86_64",IF(E123&lt;&gt;"6",F123,IF(F123="i686","i386",F123))))&amp;"/Packages/","/"&amp;E123&amp;"/"&amp;IF(OR(AND(E123="8",LEFT(D123,6)="python"),AND(E123="8",LEFT(D123,17)="redhat-rpm-config")),"AppStream","BaseOS")&amp;"/"&amp;IF(OR(E123="8",E123="7"),"x86_64",IF(F123="noarch","x86_64",IF(E123&lt;&gt;"6",F123,IF(F123="i686","i386",F123))))&amp;"/os/Packages/"),"/pub/repos/yum/"&amp;C123&amp;"/redhat/rhel-"&amp;E123&amp;IF(E123&lt;&gt;"8","Server","")&amp;"-"&amp;IF(E123&lt;&gt;"6",F123,IF(F123="i686","i386",F123))&amp;"/")</f>
        <v>https://download.postgresql.org/pub/repos/yum/9.6/redhat/rhel-7Server-x86_64/</v>
      </c>
      <c r="C123" s="20">
        <f t="shared" si="9"/>
        <v>9.6</v>
      </c>
      <c r="D123" t="s">
        <v>98</v>
      </c>
      <c r="E123" s="20" t="s">
        <v>104</v>
      </c>
      <c r="F123" t="s">
        <v>103</v>
      </c>
      <c r="G123">
        <f t="shared" si="10"/>
        <v>1</v>
      </c>
      <c r="I123" t="str">
        <f t="shared" si="11"/>
        <v>postgresql96-contrib*rhel7*x86_64.rpm</v>
      </c>
      <c r="J123" t="s">
        <v>219</v>
      </c>
    </row>
    <row r="124" spans="2:10" x14ac:dyDescent="0.3">
      <c r="B124" t="str">
        <f>IF(C124&lt;&gt;"","https://download.postgresql.org",[2]Main!$J$28)&amp;IF(C124="",IF(E124&lt;&gt;"8","/"&amp;E124&amp;"/os/"&amp;IF(OR(E124="8",E124="7"),"x86_64",IF(F124="noarch","x86_64",IF(E124&lt;&gt;"6",F124,IF(F124="i686","i386",F124))))&amp;"/Packages/","/"&amp;E124&amp;"/"&amp;IF(OR(AND(E124="8",LEFT(D124,6)="python"),AND(E124="8",LEFT(D124,17)="redhat-rpm-config")),"AppStream","BaseOS")&amp;"/"&amp;IF(OR(E124="8",E124="7"),"x86_64",IF(F124="noarch","x86_64",IF(E124&lt;&gt;"6",F124,IF(F124="i686","i386",F124))))&amp;"/os/Packages/"),"/pub/repos/yum/"&amp;C124&amp;"/redhat/rhel-"&amp;E124&amp;IF(E124&lt;&gt;"8","Server","")&amp;"-"&amp;IF(E124&lt;&gt;"6",F124,IF(F124="i686","i386",F124))&amp;"/")</f>
        <v>https://download.postgresql.org/pub/repos/yum/9.6/redhat/rhel-7Server-x86_64/</v>
      </c>
      <c r="C124" s="20">
        <f t="shared" si="9"/>
        <v>9.6</v>
      </c>
      <c r="D124" t="s">
        <v>99</v>
      </c>
      <c r="E124" s="20" t="s">
        <v>104</v>
      </c>
      <c r="F124" t="s">
        <v>103</v>
      </c>
      <c r="G124">
        <f t="shared" si="10"/>
        <v>1</v>
      </c>
      <c r="I124" t="str">
        <f t="shared" si="11"/>
        <v>postgresql96-libs*rhel7*x86_64.rpm</v>
      </c>
      <c r="J124" t="s">
        <v>220</v>
      </c>
    </row>
    <row r="125" spans="2:10" x14ac:dyDescent="0.3">
      <c r="B125" t="str">
        <f>IF(C125&lt;&gt;"","https://download.postgresql.org",[2]Main!$J$28)&amp;IF(C125="",IF(E125&lt;&gt;"8","/"&amp;E125&amp;"/os/"&amp;IF(OR(E125="8",E125="7"),"x86_64",IF(F125="noarch","x86_64",IF(E125&lt;&gt;"6",F125,IF(F125="i686","i386",F125))))&amp;"/Packages/","/"&amp;E125&amp;"/"&amp;IF(OR(AND(E125="8",LEFT(D125,6)="python"),AND(E125="8",LEFT(D125,17)="redhat-rpm-config")),"AppStream","BaseOS")&amp;"/"&amp;IF(OR(E125="8",E125="7"),"x86_64",IF(F125="noarch","x86_64",IF(E125&lt;&gt;"6",F125,IF(F125="i686","i386",F125))))&amp;"/os/Packages/"),"/pub/repos/yum/"&amp;C125&amp;"/redhat/rhel-"&amp;E125&amp;IF(E125&lt;&gt;"8","Server","")&amp;"-"&amp;IF(E125&lt;&gt;"6",F125,IF(F125="i686","i386",F125))&amp;"/")</f>
        <v>https://download.postgresql.org/pub/repos/yum/9.6/redhat/rhel-7Server-x86_64/</v>
      </c>
      <c r="C125" s="20">
        <f t="shared" si="9"/>
        <v>9.6</v>
      </c>
      <c r="D125" t="s">
        <v>100</v>
      </c>
      <c r="E125" s="20" t="s">
        <v>104</v>
      </c>
      <c r="F125" t="s">
        <v>103</v>
      </c>
      <c r="G125">
        <f t="shared" si="10"/>
        <v>0</v>
      </c>
      <c r="I125" t="str">
        <f t="shared" si="11"/>
        <v>postgresql96-server*rhel7*x86_64.rpm</v>
      </c>
      <c r="J125" t="s">
        <v>221</v>
      </c>
    </row>
    <row r="126" spans="2:10" x14ac:dyDescent="0.3">
      <c r="B126" t="str">
        <f>IF(C126&lt;&gt;"","https://download.postgresql.org",[2]Main!$J$28)&amp;IF(C126="",IF(E126&lt;&gt;"8","/"&amp;E126&amp;"/os/"&amp;IF(OR(E126="8",E126="7"),"x86_64",IF(F126="noarch","x86_64",IF(E126&lt;&gt;"6",F126,IF(F126="i686","i386",F126))))&amp;"/Packages/","/"&amp;E126&amp;"/"&amp;IF(OR(AND(E126="8",LEFT(D126,6)="python"),AND(E126="8",LEFT(D126,17)="redhat-rpm-config")),"AppStream","BaseOS")&amp;"/"&amp;IF(OR(E126="8",E126="7"),"x86_64",IF(F126="noarch","x86_64",IF(E126&lt;&gt;"6",F126,IF(F126="i686","i386",F126))))&amp;"/os/Packages/"),"/pub/repos/yum/"&amp;C126&amp;"/redhat/rhel-"&amp;E126&amp;IF(E126&lt;&gt;"8","Server","")&amp;"-"&amp;IF(E126&lt;&gt;"6",F126,IF(F126="i686","i386",F126))&amp;"/")</f>
        <v>http://mirror.kakao.com/centos/8/BaseOS/x86_64/os/Packages/</v>
      </c>
      <c r="C126" s="20" t="str">
        <f t="shared" si="9"/>
        <v/>
      </c>
      <c r="D126" t="s">
        <v>67</v>
      </c>
      <c r="E126" s="20" t="s">
        <v>128</v>
      </c>
      <c r="F126" t="s">
        <v>69</v>
      </c>
      <c r="G126">
        <f t="shared" si="10"/>
        <v>1</v>
      </c>
      <c r="I126" t="str">
        <f t="shared" si="11"/>
        <v>libicu*el8*i686.rpm</v>
      </c>
      <c r="J126" t="s">
        <v>283</v>
      </c>
    </row>
    <row r="127" spans="2:10" x14ac:dyDescent="0.3">
      <c r="B127" t="str">
        <f>IF(C127&lt;&gt;"","https://download.postgresql.org",[2]Main!$J$28)&amp;IF(C127="",IF(E127&lt;&gt;"8","/"&amp;E127&amp;"/os/"&amp;IF(OR(E127="8",E127="7"),"x86_64",IF(F127="noarch","x86_64",IF(E127&lt;&gt;"6",F127,IF(F127="i686","i386",F127))))&amp;"/Packages/","/"&amp;E127&amp;"/"&amp;IF(OR(AND(E127="8",LEFT(D127,6)="python"),AND(E127="8",LEFT(D127,17)="redhat-rpm-config")),"AppStream","BaseOS")&amp;"/"&amp;IF(OR(E127="8",E127="7"),"x86_64",IF(F127="noarch","x86_64",IF(E127&lt;&gt;"6",F127,IF(F127="i686","i386",F127))))&amp;"/os/Packages/"),"/pub/repos/yum/"&amp;C127&amp;"/redhat/rhel-"&amp;E127&amp;IF(E127&lt;&gt;"8","Server","")&amp;"-"&amp;IF(E127&lt;&gt;"6",F127,IF(F127="i686","i386",F127))&amp;"/")</f>
        <v>http://mirror.kakao.com/centos/8/BaseOS/x86_64/os/Packages/</v>
      </c>
      <c r="C127" s="20" t="str">
        <f t="shared" si="9"/>
        <v/>
      </c>
      <c r="D127" t="s">
        <v>70</v>
      </c>
      <c r="E127" s="20" t="s">
        <v>128</v>
      </c>
      <c r="F127" t="s">
        <v>69</v>
      </c>
      <c r="G127">
        <f t="shared" si="10"/>
        <v>1</v>
      </c>
      <c r="I127" t="str">
        <f t="shared" si="11"/>
        <v>libxslt*el8*i686.rpm</v>
      </c>
      <c r="J127" t="s">
        <v>506</v>
      </c>
    </row>
    <row r="128" spans="2:10" x14ac:dyDescent="0.3">
      <c r="B128" t="str">
        <f>IF(C128&lt;&gt;"","https://download.postgresql.org",[2]Main!$J$28)&amp;IF(C128="",IF(E128&lt;&gt;"8","/"&amp;E128&amp;"/os/"&amp;IF(OR(E128="8",E128="7"),"x86_64",IF(F128="noarch","x86_64",IF(E128&lt;&gt;"6",F128,IF(F128="i686","i386",F128))))&amp;"/Packages/","/"&amp;E128&amp;"/"&amp;IF(OR(AND(E128="8",LEFT(D128,6)="python"),AND(E128="8",LEFT(D128,17)="redhat-rpm-config")),"AppStream","BaseOS")&amp;"/"&amp;IF(OR(E128="8",E128="7"),"x86_64",IF(F128="noarch","x86_64",IF(E128&lt;&gt;"6",F128,IF(F128="i686","i386",F128))))&amp;"/os/Packages/"),"/pub/repos/yum/"&amp;C128&amp;"/redhat/rhel-"&amp;E128&amp;IF(E128&lt;&gt;"8","Server","")&amp;"-"&amp;IF(E128&lt;&gt;"6",F128,IF(F128="i686","i386",F128))&amp;"/")</f>
        <v>http://mirror.kakao.com/centos/8/BaseOS/x86_64/os/Packages/</v>
      </c>
      <c r="C128" s="20" t="str">
        <f t="shared" si="9"/>
        <v/>
      </c>
      <c r="D128" t="s">
        <v>72</v>
      </c>
      <c r="E128" s="20" t="s">
        <v>128</v>
      </c>
      <c r="F128" t="s">
        <v>69</v>
      </c>
      <c r="G128">
        <f t="shared" si="10"/>
        <v>1</v>
      </c>
      <c r="I128" t="str">
        <f t="shared" si="11"/>
        <v>perl-libs*el8*i686.rpm</v>
      </c>
      <c r="J128" t="s">
        <v>222</v>
      </c>
    </row>
    <row r="129" spans="2:10" x14ac:dyDescent="0.3">
      <c r="B129" t="str">
        <f>IF(C129&lt;&gt;"","https://download.postgresql.org",[2]Main!$J$28)&amp;IF(C129="",IF(E129&lt;&gt;"8","/"&amp;E129&amp;"/os/"&amp;IF(OR(E129="8",E129="7"),"x86_64",IF(F129="noarch","x86_64",IF(E129&lt;&gt;"6",F129,IF(F129="i686","i386",F129))))&amp;"/Packages/","/"&amp;E129&amp;"/"&amp;IF(OR(AND(E129="8",LEFT(D129,6)="python"),AND(E129="8",LEFT(D129,17)="redhat-rpm-config")),"AppStream","BaseOS")&amp;"/"&amp;IF(OR(E129="8",E129="7"),"x86_64",IF(F129="noarch","x86_64",IF(E129&lt;&gt;"6",F129,IF(F129="i686","i386",F129))))&amp;"/os/Packages/"),"/pub/repos/yum/"&amp;C129&amp;"/redhat/rhel-"&amp;E129&amp;IF(E129&lt;&gt;"8","Server","")&amp;"-"&amp;IF(E129&lt;&gt;"6",F129,IF(F129="i686","i386",F129))&amp;"/")</f>
        <v>http://mirror.kakao.com/centos/8/BaseOS/x86_64/os/Packages/</v>
      </c>
      <c r="C129" s="20" t="str">
        <f t="shared" si="9"/>
        <v/>
      </c>
      <c r="D129" t="s">
        <v>101</v>
      </c>
      <c r="E129" s="20" t="s">
        <v>128</v>
      </c>
      <c r="F129" t="s">
        <v>102</v>
      </c>
      <c r="G129">
        <f t="shared" si="10"/>
        <v>1</v>
      </c>
      <c r="I129" t="str">
        <f t="shared" si="11"/>
        <v>libicu-doc*el8*noarch.rpm</v>
      </c>
      <c r="J129" t="s">
        <v>223</v>
      </c>
    </row>
    <row r="130" spans="2:10" x14ac:dyDescent="0.3">
      <c r="B130" t="str">
        <f>IF(C130&lt;&gt;"","https://download.postgresql.org",[2]Main!$J$28)&amp;IF(C130="",IF(E130&lt;&gt;"8","/"&amp;E130&amp;"/os/"&amp;IF(OR(E130="8",E130="7"),"x86_64",IF(F130="noarch","x86_64",IF(E130&lt;&gt;"6",F130,IF(F130="i686","i386",F130))))&amp;"/Packages/","/"&amp;E130&amp;"/"&amp;IF(OR(AND(E130="8",LEFT(D130,6)="python"),AND(E130="8",LEFT(D130,17)="redhat-rpm-config")),"AppStream","BaseOS")&amp;"/"&amp;IF(OR(E130="8",E130="7"),"x86_64",IF(F130="noarch","x86_64",IF(E130&lt;&gt;"6",F130,IF(F130="i686","i386",F130))))&amp;"/os/Packages/"),"/pub/repos/yum/"&amp;C130&amp;"/redhat/rhel-"&amp;E130&amp;IF(E130&lt;&gt;"8","Server","")&amp;"-"&amp;IF(E130&lt;&gt;"6",F130,IF(F130="i686","i386",F130))&amp;"/")</f>
        <v>http://mirror.kakao.com/centos/8/BaseOS/x86_64/os/Packages/</v>
      </c>
      <c r="C130" s="20" t="str">
        <f t="shared" ref="C130:C161" si="12">IF(IF(LEFT(D130,10)="postgresql",RIGHT(LEFT(D130,12),2),"")&gt;"90",IF(LEFT(D130,10)="postgresql",RIGHT(LEFT(D130,12),2),"")/10,IF(LEFT(D130,10)="postgresql",RIGHT(LEFT(D130,12),2),""))</f>
        <v/>
      </c>
      <c r="D130" t="s">
        <v>105</v>
      </c>
      <c r="E130" s="20" t="s">
        <v>128</v>
      </c>
      <c r="F130" t="s">
        <v>102</v>
      </c>
      <c r="G130">
        <f t="shared" ref="G130:G161" si="13">IF(B130=B131,1,0)</f>
        <v>1</v>
      </c>
      <c r="I130" t="str">
        <f t="shared" ref="I130:I161" si="14">D130&amp;"*"&amp;IF(C130&lt;&gt;"","rhel","el")&amp;E130&amp;"*"&amp;F130&amp;".rpm"</f>
        <v>perl-Carp*el8*noarch.rpm</v>
      </c>
      <c r="J130" t="s">
        <v>284</v>
      </c>
    </row>
    <row r="131" spans="2:10" x14ac:dyDescent="0.3">
      <c r="B131" t="str">
        <f>IF(C131&lt;&gt;"","https://download.postgresql.org",[2]Main!$J$28)&amp;IF(C131="",IF(E131&lt;&gt;"8","/"&amp;E131&amp;"/os/"&amp;IF(OR(E131="8",E131="7"),"x86_64",IF(F131="noarch","x86_64",IF(E131&lt;&gt;"6",F131,IF(F131="i686","i386",F131))))&amp;"/Packages/","/"&amp;E131&amp;"/"&amp;IF(OR(AND(E131="8",LEFT(D131,6)="python"),AND(E131="8",LEFT(D131,17)="redhat-rpm-config")),"AppStream","BaseOS")&amp;"/"&amp;IF(OR(E131="8",E131="7"),"x86_64",IF(F131="noarch","x86_64",IF(E131&lt;&gt;"6",F131,IF(F131="i686","i386",F131))))&amp;"/os/Packages/"),"/pub/repos/yum/"&amp;C131&amp;"/redhat/rhel-"&amp;E131&amp;IF(E131&lt;&gt;"8","Server","")&amp;"-"&amp;IF(E131&lt;&gt;"6",F131,IF(F131="i686","i386",F131))&amp;"/")</f>
        <v>http://mirror.kakao.com/centos/8/BaseOS/x86_64/os/Packages/</v>
      </c>
      <c r="C131" s="20" t="str">
        <f t="shared" si="12"/>
        <v/>
      </c>
      <c r="D131" t="s">
        <v>106</v>
      </c>
      <c r="E131" s="20" t="s">
        <v>128</v>
      </c>
      <c r="F131" t="s">
        <v>102</v>
      </c>
      <c r="G131">
        <f t="shared" si="13"/>
        <v>1</v>
      </c>
      <c r="I131" t="str">
        <f t="shared" si="14"/>
        <v>perl-constant*el8*noarch.rpm</v>
      </c>
      <c r="J131" t="s">
        <v>224</v>
      </c>
    </row>
    <row r="132" spans="2:10" x14ac:dyDescent="0.3">
      <c r="B132" t="str">
        <f>IF(C132&lt;&gt;"","https://download.postgresql.org",[2]Main!$J$28)&amp;IF(C132="",IF(E132&lt;&gt;"8","/"&amp;E132&amp;"/os/"&amp;IF(OR(E132="8",E132="7"),"x86_64",IF(F132="noarch","x86_64",IF(E132&lt;&gt;"6",F132,IF(F132="i686","i386",F132))))&amp;"/Packages/","/"&amp;E132&amp;"/"&amp;IF(OR(AND(E132="8",LEFT(D132,6)="python"),AND(E132="8",LEFT(D132,17)="redhat-rpm-config")),"AppStream","BaseOS")&amp;"/"&amp;IF(OR(E132="8",E132="7"),"x86_64",IF(F132="noarch","x86_64",IF(E132&lt;&gt;"6",F132,IF(F132="i686","i386",F132))))&amp;"/os/Packages/"),"/pub/repos/yum/"&amp;C132&amp;"/redhat/rhel-"&amp;E132&amp;IF(E132&lt;&gt;"8","Server","")&amp;"-"&amp;IF(E132&lt;&gt;"6",F132,IF(F132="i686","i386",F132))&amp;"/")</f>
        <v>http://mirror.kakao.com/centos/8/BaseOS/x86_64/os/Packages/</v>
      </c>
      <c r="C132" s="20" t="str">
        <f t="shared" si="12"/>
        <v/>
      </c>
      <c r="D132" t="s">
        <v>107</v>
      </c>
      <c r="E132" s="20" t="s">
        <v>128</v>
      </c>
      <c r="F132" t="s">
        <v>102</v>
      </c>
      <c r="G132">
        <f t="shared" si="13"/>
        <v>1</v>
      </c>
      <c r="I132" t="str">
        <f t="shared" si="14"/>
        <v>perl-Exporter*el8*noarch.rpm</v>
      </c>
      <c r="J132" t="s">
        <v>225</v>
      </c>
    </row>
    <row r="133" spans="2:10" x14ac:dyDescent="0.3">
      <c r="B133" t="str">
        <f>IF(C133&lt;&gt;"","https://download.postgresql.org",[2]Main!$J$28)&amp;IF(C133="",IF(E133&lt;&gt;"8","/"&amp;E133&amp;"/os/"&amp;IF(OR(E133="8",E133="7"),"x86_64",IF(F133="noarch","x86_64",IF(E133&lt;&gt;"6",F133,IF(F133="i686","i386",F133))))&amp;"/Packages/","/"&amp;E133&amp;"/"&amp;IF(OR(AND(E133="8",LEFT(D133,6)="python"),AND(E133="8",LEFT(D133,17)="redhat-rpm-config")),"AppStream","BaseOS")&amp;"/"&amp;IF(OR(E133="8",E133="7"),"x86_64",IF(F133="noarch","x86_64",IF(E133&lt;&gt;"6",F133,IF(F133="i686","i386",F133))))&amp;"/os/Packages/"),"/pub/repos/yum/"&amp;C133&amp;"/redhat/rhel-"&amp;E133&amp;IF(E133&lt;&gt;"8","Server","")&amp;"-"&amp;IF(E133&lt;&gt;"6",F133,IF(F133="i686","i386",F133))&amp;"/")</f>
        <v>http://mirror.kakao.com/centos/8/BaseOS/x86_64/os/Packages/</v>
      </c>
      <c r="C133" s="20" t="str">
        <f t="shared" si="12"/>
        <v/>
      </c>
      <c r="D133" t="s">
        <v>108</v>
      </c>
      <c r="E133" s="20" t="s">
        <v>128</v>
      </c>
      <c r="F133" t="s">
        <v>102</v>
      </c>
      <c r="G133">
        <f t="shared" si="13"/>
        <v>1</v>
      </c>
      <c r="I133" t="str">
        <f t="shared" si="14"/>
        <v>perl-File-Path*el8*noarch.rpm</v>
      </c>
      <c r="J133" t="s">
        <v>226</v>
      </c>
    </row>
    <row r="134" spans="2:10" x14ac:dyDescent="0.3">
      <c r="B134" t="str">
        <f>IF(C134&lt;&gt;"","https://download.postgresql.org",[2]Main!$J$28)&amp;IF(C134="",IF(E134&lt;&gt;"8","/"&amp;E134&amp;"/os/"&amp;IF(OR(E134="8",E134="7"),"x86_64",IF(F134="noarch","x86_64",IF(E134&lt;&gt;"6",F134,IF(F134="i686","i386",F134))))&amp;"/Packages/","/"&amp;E134&amp;"/"&amp;IF(OR(AND(E134="8",LEFT(D134,6)="python"),AND(E134="8",LEFT(D134,17)="redhat-rpm-config")),"AppStream","BaseOS")&amp;"/"&amp;IF(OR(E134="8",E134="7"),"x86_64",IF(F134="noarch","x86_64",IF(E134&lt;&gt;"6",F134,IF(F134="i686","i386",F134))))&amp;"/os/Packages/"),"/pub/repos/yum/"&amp;C134&amp;"/redhat/rhel-"&amp;E134&amp;IF(E134&lt;&gt;"8","Server","")&amp;"-"&amp;IF(E134&lt;&gt;"6",F134,IF(F134="i686","i386",F134))&amp;"/")</f>
        <v>http://mirror.kakao.com/centos/8/BaseOS/x86_64/os/Packages/</v>
      </c>
      <c r="C134" s="20" t="str">
        <f t="shared" si="12"/>
        <v/>
      </c>
      <c r="D134" t="s">
        <v>109</v>
      </c>
      <c r="E134" s="20" t="s">
        <v>128</v>
      </c>
      <c r="F134" t="s">
        <v>102</v>
      </c>
      <c r="G134">
        <f t="shared" si="13"/>
        <v>1</v>
      </c>
      <c r="I134" t="str">
        <f t="shared" si="14"/>
        <v>perl-File-Temp*el8*noarch.rpm</v>
      </c>
      <c r="J134" t="s">
        <v>291</v>
      </c>
    </row>
    <row r="135" spans="2:10" x14ac:dyDescent="0.3">
      <c r="B135" t="str">
        <f>IF(C135&lt;&gt;"","https://download.postgresql.org",[2]Main!$J$28)&amp;IF(C135="",IF(E135&lt;&gt;"8","/"&amp;E135&amp;"/os/"&amp;IF(OR(E135="8",E135="7"),"x86_64",IF(F135="noarch","x86_64",IF(E135&lt;&gt;"6",F135,IF(F135="i686","i386",F135))))&amp;"/Packages/","/"&amp;E135&amp;"/"&amp;IF(OR(AND(E135="8",LEFT(D135,6)="python"),AND(E135="8",LEFT(D135,17)="redhat-rpm-config")),"AppStream","BaseOS")&amp;"/"&amp;IF(OR(E135="8",E135="7"),"x86_64",IF(F135="noarch","x86_64",IF(E135&lt;&gt;"6",F135,IF(F135="i686","i386",F135))))&amp;"/os/Packages/"),"/pub/repos/yum/"&amp;C135&amp;"/redhat/rhel-"&amp;E135&amp;IF(E135&lt;&gt;"8","Server","")&amp;"-"&amp;IF(E135&lt;&gt;"6",F135,IF(F135="i686","i386",F135))&amp;"/")</f>
        <v>http://mirror.kakao.com/centos/8/BaseOS/x86_64/os/Packages/</v>
      </c>
      <c r="C135" s="20" t="str">
        <f t="shared" si="12"/>
        <v/>
      </c>
      <c r="D135" t="s">
        <v>110</v>
      </c>
      <c r="E135" s="20" t="s">
        <v>128</v>
      </c>
      <c r="F135" t="s">
        <v>102</v>
      </c>
      <c r="G135">
        <f t="shared" si="13"/>
        <v>1</v>
      </c>
      <c r="I135" t="str">
        <f t="shared" si="14"/>
        <v>perl-Getopt-Long*el8*noarch.rpm</v>
      </c>
      <c r="J135" t="s">
        <v>227</v>
      </c>
    </row>
    <row r="136" spans="2:10" x14ac:dyDescent="0.3">
      <c r="B136" t="str">
        <f>IF(C136&lt;&gt;"","https://download.postgresql.org",[2]Main!$J$28)&amp;IF(C136="",IF(E136&lt;&gt;"8","/"&amp;E136&amp;"/os/"&amp;IF(OR(E136="8",E136="7"),"x86_64",IF(F136="noarch","x86_64",IF(E136&lt;&gt;"6",F136,IF(F136="i686","i386",F136))))&amp;"/Packages/","/"&amp;E136&amp;"/"&amp;IF(OR(AND(E136="8",LEFT(D136,6)="python"),AND(E136="8",LEFT(D136,17)="redhat-rpm-config")),"AppStream","BaseOS")&amp;"/"&amp;IF(OR(E136="8",E136="7"),"x86_64",IF(F136="noarch","x86_64",IF(E136&lt;&gt;"6",F136,IF(F136="i686","i386",F136))))&amp;"/os/Packages/"),"/pub/repos/yum/"&amp;C136&amp;"/redhat/rhel-"&amp;E136&amp;IF(E136&lt;&gt;"8","Server","")&amp;"-"&amp;IF(E136&lt;&gt;"6",F136,IF(F136="i686","i386",F136))&amp;"/")</f>
        <v>http://mirror.kakao.com/centos/8/BaseOS/x86_64/os/Packages/</v>
      </c>
      <c r="C136" s="20" t="str">
        <f t="shared" si="12"/>
        <v/>
      </c>
      <c r="D136" t="s">
        <v>111</v>
      </c>
      <c r="E136" s="20" t="s">
        <v>128</v>
      </c>
      <c r="F136" t="s">
        <v>102</v>
      </c>
      <c r="G136">
        <f t="shared" si="13"/>
        <v>1</v>
      </c>
      <c r="I136" t="str">
        <f t="shared" si="14"/>
        <v>perl-HTTP-Tiny*el8*noarch.rpm</v>
      </c>
      <c r="J136" t="s">
        <v>228</v>
      </c>
    </row>
    <row r="137" spans="2:10" x14ac:dyDescent="0.3">
      <c r="B137" t="str">
        <f>IF(C137&lt;&gt;"","https://download.postgresql.org",[2]Main!$J$28)&amp;IF(C137="",IF(E137&lt;&gt;"8","/"&amp;E137&amp;"/os/"&amp;IF(OR(E137="8",E137="7"),"x86_64",IF(F137="noarch","x86_64",IF(E137&lt;&gt;"6",F137,IF(F137="i686","i386",F137))))&amp;"/Packages/","/"&amp;E137&amp;"/"&amp;IF(OR(AND(E137="8",LEFT(D137,6)="python"),AND(E137="8",LEFT(D137,17)="redhat-rpm-config")),"AppStream","BaseOS")&amp;"/"&amp;IF(OR(E137="8",E137="7"),"x86_64",IF(F137="noarch","x86_64",IF(E137&lt;&gt;"6",F137,IF(F137="i686","i386",F137))))&amp;"/os/Packages/"),"/pub/repos/yum/"&amp;C137&amp;"/redhat/rhel-"&amp;E137&amp;IF(E137&lt;&gt;"8","Server","")&amp;"-"&amp;IF(E137&lt;&gt;"6",F137,IF(F137="i686","i386",F137))&amp;"/")</f>
        <v>http://mirror.kakao.com/centos/8/BaseOS/x86_64/os/Packages/</v>
      </c>
      <c r="C137" s="20" t="str">
        <f t="shared" si="12"/>
        <v/>
      </c>
      <c r="D137" t="s">
        <v>112</v>
      </c>
      <c r="E137" s="20" t="s">
        <v>128</v>
      </c>
      <c r="F137" t="s">
        <v>102</v>
      </c>
      <c r="G137">
        <f t="shared" si="13"/>
        <v>1</v>
      </c>
      <c r="I137" t="str">
        <f t="shared" si="14"/>
        <v>perl-parent*el8*noarch.rpm</v>
      </c>
      <c r="J137" t="s">
        <v>292</v>
      </c>
    </row>
    <row r="138" spans="2:10" x14ac:dyDescent="0.3">
      <c r="B138" t="str">
        <f>IF(C138&lt;&gt;"","https://download.postgresql.org",[2]Main!$J$28)&amp;IF(C138="",IF(E138&lt;&gt;"8","/"&amp;E138&amp;"/os/"&amp;IF(OR(E138="8",E138="7"),"x86_64",IF(F138="noarch","x86_64",IF(E138&lt;&gt;"6",F138,IF(F138="i686","i386",F138))))&amp;"/Packages/","/"&amp;E138&amp;"/"&amp;IF(OR(AND(E138="8",LEFT(D138,6)="python"),AND(E138="8",LEFT(D138,17)="redhat-rpm-config")),"AppStream","BaseOS")&amp;"/"&amp;IF(OR(E138="8",E138="7"),"x86_64",IF(F138="noarch","x86_64",IF(E138&lt;&gt;"6",F138,IF(F138="i686","i386",F138))))&amp;"/os/Packages/"),"/pub/repos/yum/"&amp;C138&amp;"/redhat/rhel-"&amp;E138&amp;IF(E138&lt;&gt;"8","Server","")&amp;"-"&amp;IF(E138&lt;&gt;"6",F138,IF(F138="i686","i386",F138))&amp;"/")</f>
        <v>http://mirror.kakao.com/centos/8/BaseOS/x86_64/os/Packages/</v>
      </c>
      <c r="C138" s="20" t="str">
        <f t="shared" si="12"/>
        <v/>
      </c>
      <c r="D138" t="s">
        <v>74</v>
      </c>
      <c r="E138" s="20" t="s">
        <v>128</v>
      </c>
      <c r="F138" t="s">
        <v>102</v>
      </c>
      <c r="G138">
        <f t="shared" si="13"/>
        <v>1</v>
      </c>
      <c r="I138" t="str">
        <f t="shared" si="14"/>
        <v>perl-Pod-Escapes*el8*noarch.rpm</v>
      </c>
      <c r="J138" t="s">
        <v>293</v>
      </c>
    </row>
    <row r="139" spans="2:10" x14ac:dyDescent="0.3">
      <c r="B139" t="str">
        <f>IF(C139&lt;&gt;"","https://download.postgresql.org",[2]Main!$J$28)&amp;IF(C139="",IF(E139&lt;&gt;"8","/"&amp;E139&amp;"/os/"&amp;IF(OR(E139="8",E139="7"),"x86_64",IF(F139="noarch","x86_64",IF(E139&lt;&gt;"6",F139,IF(F139="i686","i386",F139))))&amp;"/Packages/","/"&amp;E139&amp;"/"&amp;IF(OR(AND(E139="8",LEFT(D139,6)="python"),AND(E139="8",LEFT(D139,17)="redhat-rpm-config")),"AppStream","BaseOS")&amp;"/"&amp;IF(OR(E139="8",E139="7"),"x86_64",IF(F139="noarch","x86_64",IF(E139&lt;&gt;"6",F139,IF(F139="i686","i386",F139))))&amp;"/os/Packages/"),"/pub/repos/yum/"&amp;C139&amp;"/redhat/rhel-"&amp;E139&amp;IF(E139&lt;&gt;"8","Server","")&amp;"-"&amp;IF(E139&lt;&gt;"6",F139,IF(F139="i686","i386",F139))&amp;"/")</f>
        <v>http://mirror.kakao.com/centos/8/BaseOS/x86_64/os/Packages/</v>
      </c>
      <c r="C139" s="20" t="str">
        <f t="shared" si="12"/>
        <v/>
      </c>
      <c r="D139" t="s">
        <v>113</v>
      </c>
      <c r="E139" s="20" t="s">
        <v>128</v>
      </c>
      <c r="F139" t="s">
        <v>102</v>
      </c>
      <c r="G139">
        <f t="shared" si="13"/>
        <v>1</v>
      </c>
      <c r="I139" t="str">
        <f t="shared" si="14"/>
        <v>perl-podlators*el8*noarch.rpm</v>
      </c>
      <c r="J139" t="s">
        <v>229</v>
      </c>
    </row>
    <row r="140" spans="2:10" x14ac:dyDescent="0.3">
      <c r="B140" t="str">
        <f>IF(C140&lt;&gt;"","https://download.postgresql.org",[2]Main!$J$28)&amp;IF(C140="",IF(E140&lt;&gt;"8","/"&amp;E140&amp;"/os/"&amp;IF(OR(E140="8",E140="7"),"x86_64",IF(F140="noarch","x86_64",IF(E140&lt;&gt;"6",F140,IF(F140="i686","i386",F140))))&amp;"/Packages/","/"&amp;E140&amp;"/"&amp;IF(OR(AND(E140="8",LEFT(D140,6)="python"),AND(E140="8",LEFT(D140,17)="redhat-rpm-config")),"AppStream","BaseOS")&amp;"/"&amp;IF(OR(E140="8",E140="7"),"x86_64",IF(F140="noarch","x86_64",IF(E140&lt;&gt;"6",F140,IF(F140="i686","i386",F140))))&amp;"/os/Packages/"),"/pub/repos/yum/"&amp;C140&amp;"/redhat/rhel-"&amp;E140&amp;IF(E140&lt;&gt;"8","Server","")&amp;"-"&amp;IF(E140&lt;&gt;"6",F140,IF(F140="i686","i386",F140))&amp;"/")</f>
        <v>http://mirror.kakao.com/centos/8/BaseOS/x86_64/os/Packages/</v>
      </c>
      <c r="C140" s="20" t="str">
        <f t="shared" si="12"/>
        <v/>
      </c>
      <c r="D140" t="s">
        <v>114</v>
      </c>
      <c r="E140" s="20" t="s">
        <v>128</v>
      </c>
      <c r="F140" t="s">
        <v>102</v>
      </c>
      <c r="G140">
        <f t="shared" si="13"/>
        <v>1</v>
      </c>
      <c r="I140" t="str">
        <f t="shared" si="14"/>
        <v>perl-Pod-Perldoc*el8*noarch.rpm</v>
      </c>
      <c r="J140" t="s">
        <v>294</v>
      </c>
    </row>
    <row r="141" spans="2:10" x14ac:dyDescent="0.3">
      <c r="B141" t="str">
        <f>IF(C141&lt;&gt;"","https://download.postgresql.org",[2]Main!$J$28)&amp;IF(C141="",IF(E141&lt;&gt;"8","/"&amp;E141&amp;"/os/"&amp;IF(OR(E141="8",E141="7"),"x86_64",IF(F141="noarch","x86_64",IF(E141&lt;&gt;"6",F141,IF(F141="i686","i386",F141))))&amp;"/Packages/","/"&amp;E141&amp;"/"&amp;IF(OR(AND(E141="8",LEFT(D141,6)="python"),AND(E141="8",LEFT(D141,17)="redhat-rpm-config")),"AppStream","BaseOS")&amp;"/"&amp;IF(OR(E141="8",E141="7"),"x86_64",IF(F141="noarch","x86_64",IF(E141&lt;&gt;"6",F141,IF(F141="i686","i386",F141))))&amp;"/os/Packages/"),"/pub/repos/yum/"&amp;C141&amp;"/redhat/rhel-"&amp;E141&amp;IF(E141&lt;&gt;"8","Server","")&amp;"-"&amp;IF(E141&lt;&gt;"6",F141,IF(F141="i686","i386",F141))&amp;"/")</f>
        <v>http://mirror.kakao.com/centos/8/BaseOS/x86_64/os/Packages/</v>
      </c>
      <c r="C141" s="20" t="str">
        <f t="shared" si="12"/>
        <v/>
      </c>
      <c r="D141" t="s">
        <v>75</v>
      </c>
      <c r="E141" s="20" t="s">
        <v>128</v>
      </c>
      <c r="F141" t="s">
        <v>102</v>
      </c>
      <c r="G141">
        <f t="shared" si="13"/>
        <v>1</v>
      </c>
      <c r="I141" t="str">
        <f t="shared" si="14"/>
        <v>perl-Pod-Simple*el8*noarch.rpm</v>
      </c>
      <c r="J141" t="s">
        <v>230</v>
      </c>
    </row>
    <row r="142" spans="2:10" x14ac:dyDescent="0.3">
      <c r="B142" t="str">
        <f>IF(C142&lt;&gt;"","https://download.postgresql.org",[2]Main!$J$28)&amp;IF(C142="",IF(E142&lt;&gt;"8","/"&amp;E142&amp;"/os/"&amp;IF(OR(E142="8",E142="7"),"x86_64",IF(F142="noarch","x86_64",IF(E142&lt;&gt;"6",F142,IF(F142="i686","i386",F142))))&amp;"/Packages/","/"&amp;E142&amp;"/"&amp;IF(OR(AND(E142="8",LEFT(D142,6)="python"),AND(E142="8",LEFT(D142,17)="redhat-rpm-config")),"AppStream","BaseOS")&amp;"/"&amp;IF(OR(E142="8",E142="7"),"x86_64",IF(F142="noarch","x86_64",IF(E142&lt;&gt;"6",F142,IF(F142="i686","i386",F142))))&amp;"/os/Packages/"),"/pub/repos/yum/"&amp;C142&amp;"/redhat/rhel-"&amp;E142&amp;IF(E142&lt;&gt;"8","Server","")&amp;"-"&amp;IF(E142&lt;&gt;"6",F142,IF(F142="i686","i386",F142))&amp;"/")</f>
        <v>http://mirror.kakao.com/centos/8/BaseOS/x86_64/os/Packages/</v>
      </c>
      <c r="C142" s="20" t="str">
        <f t="shared" si="12"/>
        <v/>
      </c>
      <c r="D142" t="s">
        <v>115</v>
      </c>
      <c r="E142" s="20" t="s">
        <v>128</v>
      </c>
      <c r="F142" t="s">
        <v>102</v>
      </c>
      <c r="G142">
        <f t="shared" si="13"/>
        <v>1</v>
      </c>
      <c r="I142" t="str">
        <f t="shared" si="14"/>
        <v>perl-Pod-Usage*el8*noarch.rpm</v>
      </c>
      <c r="J142" t="s">
        <v>295</v>
      </c>
    </row>
    <row r="143" spans="2:10" x14ac:dyDescent="0.3">
      <c r="B143" t="str">
        <f>IF(C143&lt;&gt;"","https://download.postgresql.org",[2]Main!$J$28)&amp;IF(C143="",IF(E143&lt;&gt;"8","/"&amp;E143&amp;"/os/"&amp;IF(OR(E143="8",E143="7"),"x86_64",IF(F143="noarch","x86_64",IF(E143&lt;&gt;"6",F143,IF(F143="i686","i386",F143))))&amp;"/Packages/","/"&amp;E143&amp;"/"&amp;IF(OR(AND(E143="8",LEFT(D143,6)="python"),AND(E143="8",LEFT(D143,17)="redhat-rpm-config")),"AppStream","BaseOS")&amp;"/"&amp;IF(OR(E143="8",E143="7"),"x86_64",IF(F143="noarch","x86_64",IF(E143&lt;&gt;"6",F143,IF(F143="i686","i386",F143))))&amp;"/os/Packages/"),"/pub/repos/yum/"&amp;C143&amp;"/redhat/rhel-"&amp;E143&amp;IF(E143&lt;&gt;"8","Server","")&amp;"-"&amp;IF(E143&lt;&gt;"6",F143,IF(F143="i686","i386",F143))&amp;"/")</f>
        <v>http://mirror.kakao.com/centos/8/BaseOS/x86_64/os/Packages/</v>
      </c>
      <c r="C143" s="20" t="str">
        <f t="shared" si="12"/>
        <v/>
      </c>
      <c r="D143" t="s">
        <v>129</v>
      </c>
      <c r="E143" s="20" t="s">
        <v>128</v>
      </c>
      <c r="F143" t="s">
        <v>102</v>
      </c>
      <c r="G143">
        <f t="shared" si="13"/>
        <v>1</v>
      </c>
      <c r="I143" t="str">
        <f t="shared" si="14"/>
        <v>perl-Term-ANSIColor*el8*noarch.rpm</v>
      </c>
      <c r="J143" t="s">
        <v>296</v>
      </c>
    </row>
    <row r="144" spans="2:10" x14ac:dyDescent="0.3">
      <c r="B144" t="str">
        <f>IF(C144&lt;&gt;"","https://download.postgresql.org",[2]Main!$J$28)&amp;IF(C144="",IF(E144&lt;&gt;"8","/"&amp;E144&amp;"/os/"&amp;IF(OR(E144="8",E144="7"),"x86_64",IF(F144="noarch","x86_64",IF(E144&lt;&gt;"6",F144,IF(F144="i686","i386",F144))))&amp;"/Packages/","/"&amp;E144&amp;"/"&amp;IF(OR(AND(E144="8",LEFT(D144,6)="python"),AND(E144="8",LEFT(D144,17)="redhat-rpm-config")),"AppStream","BaseOS")&amp;"/"&amp;IF(OR(E144="8",E144="7"),"x86_64",IF(F144="noarch","x86_64",IF(E144&lt;&gt;"6",F144,IF(F144="i686","i386",F144))))&amp;"/os/Packages/"),"/pub/repos/yum/"&amp;C144&amp;"/redhat/rhel-"&amp;E144&amp;IF(E144&lt;&gt;"8","Server","")&amp;"-"&amp;IF(E144&lt;&gt;"6",F144,IF(F144="i686","i386",F144))&amp;"/")</f>
        <v>http://mirror.kakao.com/centos/8/BaseOS/x86_64/os/Packages/</v>
      </c>
      <c r="C144" s="20" t="str">
        <f t="shared" si="12"/>
        <v/>
      </c>
      <c r="D144" t="s">
        <v>130</v>
      </c>
      <c r="E144" s="20" t="s">
        <v>128</v>
      </c>
      <c r="F144" t="s">
        <v>102</v>
      </c>
      <c r="G144">
        <f t="shared" si="13"/>
        <v>1</v>
      </c>
      <c r="I144" t="str">
        <f t="shared" si="14"/>
        <v>perl-Term-Cap*el8*noarch.rpm</v>
      </c>
      <c r="J144" t="s">
        <v>297</v>
      </c>
    </row>
    <row r="145" spans="2:10" x14ac:dyDescent="0.3">
      <c r="B145" t="str">
        <f>IF(C145&lt;&gt;"","https://download.postgresql.org",[2]Main!$J$28)&amp;IF(C145="",IF(E145&lt;&gt;"8","/"&amp;E145&amp;"/os/"&amp;IF(OR(E145="8",E145="7"),"x86_64",IF(F145="noarch","x86_64",IF(E145&lt;&gt;"6",F145,IF(F145="i686","i386",F145))))&amp;"/Packages/","/"&amp;E145&amp;"/"&amp;IF(OR(AND(E145="8",LEFT(D145,6)="python"),AND(E145="8",LEFT(D145,17)="redhat-rpm-config")),"AppStream","BaseOS")&amp;"/"&amp;IF(OR(E145="8",E145="7"),"x86_64",IF(F145="noarch","x86_64",IF(E145&lt;&gt;"6",F145,IF(F145="i686","i386",F145))))&amp;"/os/Packages/"),"/pub/repos/yum/"&amp;C145&amp;"/redhat/rhel-"&amp;E145&amp;IF(E145&lt;&gt;"8","Server","")&amp;"-"&amp;IF(E145&lt;&gt;"6",F145,IF(F145="i686","i386",F145))&amp;"/")</f>
        <v>http://mirror.kakao.com/centos/8/BaseOS/x86_64/os/Packages/</v>
      </c>
      <c r="C145" s="20" t="str">
        <f t="shared" si="12"/>
        <v/>
      </c>
      <c r="D145" t="s">
        <v>116</v>
      </c>
      <c r="E145" s="20" t="s">
        <v>128</v>
      </c>
      <c r="F145" t="s">
        <v>102</v>
      </c>
      <c r="G145">
        <f t="shared" si="13"/>
        <v>1</v>
      </c>
      <c r="I145" t="str">
        <f t="shared" si="14"/>
        <v>perl-Text-ParseWords*el8*noarch.rpm</v>
      </c>
      <c r="J145" t="s">
        <v>298</v>
      </c>
    </row>
    <row r="146" spans="2:10" x14ac:dyDescent="0.3">
      <c r="B146" t="str">
        <f>IF(C146&lt;&gt;"","https://download.postgresql.org",[2]Main!$J$28)&amp;IF(C146="",IF(E146&lt;&gt;"8","/"&amp;E146&amp;"/os/"&amp;IF(OR(E146="8",E146="7"),"x86_64",IF(F146="noarch","x86_64",IF(E146&lt;&gt;"6",F146,IF(F146="i686","i386",F146))))&amp;"/Packages/","/"&amp;E146&amp;"/"&amp;IF(OR(AND(E146="8",LEFT(D146,6)="python"),AND(E146="8",LEFT(D146,17)="redhat-rpm-config")),"AppStream","BaseOS")&amp;"/"&amp;IF(OR(E146="8",E146="7"),"x86_64",IF(F146="noarch","x86_64",IF(E146&lt;&gt;"6",F146,IF(F146="i686","i386",F146))))&amp;"/os/Packages/"),"/pub/repos/yum/"&amp;C146&amp;"/redhat/rhel-"&amp;E146&amp;IF(E146&lt;&gt;"8","Server","")&amp;"-"&amp;IF(E146&lt;&gt;"6",F146,IF(F146="i686","i386",F146))&amp;"/")</f>
        <v>http://mirror.kakao.com/centos/8/BaseOS/x86_64/os/Packages/</v>
      </c>
      <c r="C146" s="20" t="str">
        <f t="shared" si="12"/>
        <v/>
      </c>
      <c r="D146" t="s">
        <v>139</v>
      </c>
      <c r="E146" s="20" t="s">
        <v>128</v>
      </c>
      <c r="F146" t="s">
        <v>102</v>
      </c>
      <c r="G146">
        <f t="shared" si="13"/>
        <v>1</v>
      </c>
      <c r="I146" t="str">
        <f t="shared" si="14"/>
        <v>perl-Text-Tabs+Wrap*el8*noarch.rpm</v>
      </c>
      <c r="J146" t="s">
        <v>299</v>
      </c>
    </row>
    <row r="147" spans="2:10" x14ac:dyDescent="0.3">
      <c r="B147" t="str">
        <f>IF(C147&lt;&gt;"","https://download.postgresql.org",[2]Main!$J$28)&amp;IF(C147="",IF(E147&lt;&gt;"8","/"&amp;E147&amp;"/os/"&amp;IF(OR(E147="8",E147="7"),"x86_64",IF(F147="noarch","x86_64",IF(E147&lt;&gt;"6",F147,IF(F147="i686","i386",F147))))&amp;"/Packages/","/"&amp;E147&amp;"/"&amp;IF(OR(AND(E147="8",LEFT(D147,6)="python"),AND(E147="8",LEFT(D147,17)="redhat-rpm-config")),"AppStream","BaseOS")&amp;"/"&amp;IF(OR(E147="8",E147="7"),"x86_64",IF(F147="noarch","x86_64",IF(E147&lt;&gt;"6",F147,IF(F147="i686","i386",F147))))&amp;"/os/Packages/"),"/pub/repos/yum/"&amp;C147&amp;"/redhat/rhel-"&amp;E147&amp;IF(E147&lt;&gt;"8","Server","")&amp;"-"&amp;IF(E147&lt;&gt;"6",F147,IF(F147="i686","i386",F147))&amp;"/")</f>
        <v>http://mirror.kakao.com/centos/8/BaseOS/x86_64/os/Packages/</v>
      </c>
      <c r="C147" s="20" t="str">
        <f t="shared" si="12"/>
        <v/>
      </c>
      <c r="D147" t="s">
        <v>117</v>
      </c>
      <c r="E147" s="20" t="s">
        <v>128</v>
      </c>
      <c r="F147" t="s">
        <v>102</v>
      </c>
      <c r="G147">
        <f t="shared" si="13"/>
        <v>0</v>
      </c>
      <c r="I147" t="str">
        <f t="shared" si="14"/>
        <v>perl-Time-Local*el8*noarch.rpm</v>
      </c>
      <c r="J147" t="s">
        <v>300</v>
      </c>
    </row>
    <row r="148" spans="2:10" x14ac:dyDescent="0.3">
      <c r="B148" t="str">
        <f>IF(C148&lt;&gt;"","https://download.postgresql.org",[2]Main!$J$28)&amp;IF(C148="",IF(E148&lt;&gt;"8","/"&amp;E148&amp;"/os/"&amp;IF(OR(E148="8",E148="7"),"x86_64",IF(F148="noarch","x86_64",IF(E148&lt;&gt;"6",F148,IF(F148="i686","i386",F148))))&amp;"/Packages/","/"&amp;E148&amp;"/"&amp;IF(OR(AND(E148="8",LEFT(D148,6)="python"),AND(E148="8",LEFT(D148,17)="redhat-rpm-config")),"AppStream","BaseOS")&amp;"/"&amp;IF(OR(E148="8",E148="7"),"x86_64",IF(F148="noarch","x86_64",IF(E148&lt;&gt;"6",F148,IF(F148="i686","i386",F148))))&amp;"/os/Packages/"),"/pub/repos/yum/"&amp;C148&amp;"/redhat/rhel-"&amp;E148&amp;IF(E148&lt;&gt;"8","Server","")&amp;"-"&amp;IF(E148&lt;&gt;"6",F148,IF(F148="i686","i386",F148))&amp;"/")</f>
        <v>http://mirror.kakao.com/centos/8/AppStream/x86_64/os/Packages/</v>
      </c>
      <c r="C148" s="20" t="str">
        <f t="shared" si="12"/>
        <v/>
      </c>
      <c r="D148" t="s">
        <v>131</v>
      </c>
      <c r="E148" s="20" t="s">
        <v>128</v>
      </c>
      <c r="F148" t="s">
        <v>102</v>
      </c>
      <c r="G148">
        <f t="shared" si="13"/>
        <v>1</v>
      </c>
      <c r="I148" t="str">
        <f t="shared" si="14"/>
        <v>python2-pip-wheel*el8*noarch.rpm</v>
      </c>
      <c r="J148" t="s">
        <v>505</v>
      </c>
    </row>
    <row r="149" spans="2:10" x14ac:dyDescent="0.3">
      <c r="B149" t="str">
        <f>IF(C149&lt;&gt;"","https://download.postgresql.org",[2]Main!$J$28)&amp;IF(C149="",IF(E149&lt;&gt;"8","/"&amp;E149&amp;"/os/"&amp;IF(OR(E149="8",E149="7"),"x86_64",IF(F149="noarch","x86_64",IF(E149&lt;&gt;"6",F149,IF(F149="i686","i386",F149))))&amp;"/Packages/","/"&amp;E149&amp;"/"&amp;IF(OR(AND(E149="8",LEFT(D149,6)="python"),AND(E149="8",LEFT(D149,17)="redhat-rpm-config")),"AppStream","BaseOS")&amp;"/"&amp;IF(OR(E149="8",E149="7"),"x86_64",IF(F149="noarch","x86_64",IF(E149&lt;&gt;"6",F149,IF(F149="i686","i386",F149))))&amp;"/os/Packages/"),"/pub/repos/yum/"&amp;C149&amp;"/redhat/rhel-"&amp;E149&amp;IF(E149&lt;&gt;"8","Server","")&amp;"-"&amp;IF(E149&lt;&gt;"6",F149,IF(F149="i686","i386",F149))&amp;"/")</f>
        <v>http://mirror.kakao.com/centos/8/AppStream/x86_64/os/Packages/</v>
      </c>
      <c r="C149" s="20" t="str">
        <f t="shared" si="12"/>
        <v/>
      </c>
      <c r="D149" t="s">
        <v>132</v>
      </c>
      <c r="E149" s="20" t="s">
        <v>128</v>
      </c>
      <c r="F149" t="s">
        <v>102</v>
      </c>
      <c r="G149">
        <f t="shared" si="13"/>
        <v>1</v>
      </c>
      <c r="I149" t="str">
        <f t="shared" si="14"/>
        <v>python2-setuptools-wheel*el8*noarch.rpm</v>
      </c>
      <c r="J149" t="s">
        <v>504</v>
      </c>
    </row>
    <row r="150" spans="2:10" x14ac:dyDescent="0.3">
      <c r="B150" t="str">
        <f>IF(C150&lt;&gt;"","https://download.postgresql.org",[2]Main!$J$28)&amp;IF(C150="",IF(E150&lt;&gt;"8","/"&amp;E150&amp;"/os/"&amp;IF(OR(E150="8",E150="7"),"x86_64",IF(F150="noarch","x86_64",IF(E150&lt;&gt;"6",F150,IF(F150="i686","i386",F150))))&amp;"/Packages/","/"&amp;E150&amp;"/"&amp;IF(OR(AND(E150="8",LEFT(D150,6)="python"),AND(E150="8",LEFT(D150,17)="redhat-rpm-config")),"AppStream","BaseOS")&amp;"/"&amp;IF(OR(E150="8",E150="7"),"x86_64",IF(F150="noarch","x86_64",IF(E150&lt;&gt;"6",F150,IF(F150="i686","i386",F150))))&amp;"/os/Packages/"),"/pub/repos/yum/"&amp;C150&amp;"/redhat/rhel-"&amp;E150&amp;IF(E150&lt;&gt;"8","Server","")&amp;"-"&amp;IF(E150&lt;&gt;"6",F150,IF(F150="i686","i386",F150))&amp;"/")</f>
        <v>http://mirror.kakao.com/centos/8/AppStream/x86_64/os/Packages/</v>
      </c>
      <c r="C150" s="20"/>
      <c r="D150" t="s">
        <v>503</v>
      </c>
      <c r="E150" s="20" t="s">
        <v>128</v>
      </c>
      <c r="F150" t="s">
        <v>102</v>
      </c>
      <c r="G150">
        <f t="shared" si="13"/>
        <v>1</v>
      </c>
      <c r="I150" t="str">
        <f t="shared" si="14"/>
        <v>python-rpm-macros*el8*noarch.rpm</v>
      </c>
      <c r="J150" t="s">
        <v>502</v>
      </c>
    </row>
    <row r="151" spans="2:10" x14ac:dyDescent="0.3">
      <c r="B151" t="str">
        <f>IF(C151&lt;&gt;"","https://download.postgresql.org",[2]Main!$J$28)&amp;IF(C151="",IF(E151&lt;&gt;"8","/"&amp;E151&amp;"/os/"&amp;IF(OR(E151="8",E151="7"),"x86_64",IF(F151="noarch","x86_64",IF(E151&lt;&gt;"6",F151,IF(F151="i686","i386",F151))))&amp;"/Packages/","/"&amp;E151&amp;"/"&amp;IF(OR(AND(E151="8",LEFT(D151,6)="python"),AND(E151="8",LEFT(D151,17)="redhat-rpm-config")),"AppStream","BaseOS")&amp;"/"&amp;IF(OR(E151="8",E151="7"),"x86_64",IF(F151="noarch","x86_64",IF(E151&lt;&gt;"6",F151,IF(F151="i686","i386",F151))))&amp;"/os/Packages/"),"/pub/repos/yum/"&amp;C151&amp;"/redhat/rhel-"&amp;E151&amp;IF(E151&lt;&gt;"8","Server","")&amp;"-"&amp;IF(E151&lt;&gt;"6",F151,IF(F151="i686","i386",F151))&amp;"/")</f>
        <v>http://mirror.kakao.com/centos/8/AppStream/x86_64/os/Packages/</v>
      </c>
      <c r="C151" s="20"/>
      <c r="D151" t="s">
        <v>501</v>
      </c>
      <c r="E151" s="20" t="s">
        <v>128</v>
      </c>
      <c r="F151" t="s">
        <v>102</v>
      </c>
      <c r="G151">
        <f t="shared" si="13"/>
        <v>1</v>
      </c>
      <c r="I151" t="str">
        <f t="shared" si="14"/>
        <v>python-srpm-macros*el8*noarch.rpm</v>
      </c>
      <c r="J151" t="s">
        <v>500</v>
      </c>
    </row>
    <row r="152" spans="2:10" x14ac:dyDescent="0.3">
      <c r="B152" t="str">
        <f>IF(C152&lt;&gt;"","https://download.postgresql.org",[2]Main!$J$28)&amp;IF(C152="",IF(E152&lt;&gt;"8","/"&amp;E152&amp;"/os/"&amp;IF(OR(E152="8",E152="7"),"x86_64",IF(F152="noarch","x86_64",IF(E152&lt;&gt;"6",F152,IF(F152="i686","i386",F152))))&amp;"/Packages/","/"&amp;E152&amp;"/"&amp;IF(OR(AND(E152="8",LEFT(D152,6)="python"),AND(E152="8",LEFT(D152,17)="redhat-rpm-config")),"AppStream","BaseOS")&amp;"/"&amp;IF(OR(E152="8",E152="7"),"x86_64",IF(F152="noarch","x86_64",IF(E152&lt;&gt;"6",F152,IF(F152="i686","i386",F152))))&amp;"/os/Packages/"),"/pub/repos/yum/"&amp;C152&amp;"/redhat/rhel-"&amp;E152&amp;IF(E152&lt;&gt;"8","Server","")&amp;"-"&amp;IF(E152&lt;&gt;"6",F152,IF(F152="i686","i386",F152))&amp;"/")</f>
        <v>http://mirror.kakao.com/centos/8/AppStream/x86_64/os/Packages/</v>
      </c>
      <c r="C152" s="20"/>
      <c r="D152" t="s">
        <v>499</v>
      </c>
      <c r="E152" s="20" t="s">
        <v>128</v>
      </c>
      <c r="F152" t="s">
        <v>102</v>
      </c>
      <c r="G152">
        <f t="shared" si="13"/>
        <v>1</v>
      </c>
      <c r="I152" t="str">
        <f t="shared" si="14"/>
        <v>python2-rpm-macros*el8*noarch.rpm</v>
      </c>
      <c r="J152" t="s">
        <v>498</v>
      </c>
    </row>
    <row r="153" spans="2:10" x14ac:dyDescent="0.3">
      <c r="B153" t="str">
        <f>IF(C153&lt;&gt;"","https://download.postgresql.org",[2]Main!$J$28)&amp;IF(C153="",IF(E153&lt;&gt;"8","/"&amp;E153&amp;"/os/"&amp;IF(OR(E153="8",E153="7"),"x86_64",IF(F153="noarch","x86_64",IF(E153&lt;&gt;"6",F153,IF(F153="i686","i386",F153))))&amp;"/Packages/","/"&amp;E153&amp;"/"&amp;IF(OR(AND(E153="8",LEFT(D153,6)="python"),AND(E153="8",LEFT(D153,17)="redhat-rpm-config")),"AppStream","BaseOS")&amp;"/"&amp;IF(OR(E153="8",E153="7"),"x86_64",IF(F153="noarch","x86_64",IF(E153&lt;&gt;"6",F153,IF(F153="i686","i386",F153))))&amp;"/os/Packages/"),"/pub/repos/yum/"&amp;C153&amp;"/redhat/rhel-"&amp;E153&amp;IF(E153&lt;&gt;"8","Server","")&amp;"-"&amp;IF(E153&lt;&gt;"6",F153,IF(F153="i686","i386",F153))&amp;"/")</f>
        <v>http://mirror.kakao.com/centos/8/AppStream/x86_64/os/Packages/</v>
      </c>
      <c r="C153" s="20"/>
      <c r="D153" t="s">
        <v>497</v>
      </c>
      <c r="E153" s="20" t="s">
        <v>128</v>
      </c>
      <c r="F153" t="s">
        <v>102</v>
      </c>
      <c r="G153">
        <f t="shared" si="13"/>
        <v>1</v>
      </c>
      <c r="I153" t="str">
        <f t="shared" si="14"/>
        <v>python2-setuptools*el8*noarch.rpm</v>
      </c>
      <c r="J153" t="s">
        <v>496</v>
      </c>
    </row>
    <row r="154" spans="2:10" x14ac:dyDescent="0.3">
      <c r="B154" t="str">
        <f>IF(C154&lt;&gt;"","https://download.postgresql.org",[2]Main!$J$28)&amp;IF(C154="",IF(E154&lt;&gt;"8","/"&amp;E154&amp;"/os/"&amp;IF(OR(E154="8",E154="7"),"x86_64",IF(F154="noarch","x86_64",IF(E154&lt;&gt;"6",F154,IF(F154="i686","i386",F154))))&amp;"/Packages/","/"&amp;E154&amp;"/"&amp;IF(OR(AND(E154="8",LEFT(D154,6)="python"),AND(E154="8",LEFT(D154,17)="redhat-rpm-config")),"AppStream","BaseOS")&amp;"/"&amp;IF(OR(E154="8",E154="7"),"x86_64",IF(F154="noarch","x86_64",IF(E154&lt;&gt;"6",F154,IF(F154="i686","i386",F154))))&amp;"/os/Packages/"),"/pub/repos/yum/"&amp;C154&amp;"/redhat/rhel-"&amp;E154&amp;IF(E154&lt;&gt;"8","Server","")&amp;"-"&amp;IF(E154&lt;&gt;"6",F154,IF(F154="i686","i386",F154))&amp;"/")</f>
        <v>http://mirror.kakao.com/centos/8/AppStream/x86_64/os/Packages/</v>
      </c>
      <c r="C154" s="20"/>
      <c r="D154" t="s">
        <v>495</v>
      </c>
      <c r="E154" s="20" t="s">
        <v>128</v>
      </c>
      <c r="F154" t="s">
        <v>102</v>
      </c>
      <c r="G154">
        <f t="shared" si="13"/>
        <v>0</v>
      </c>
      <c r="I154" t="str">
        <f t="shared" si="14"/>
        <v>python3-rpm-generators*el8*noarch.rpm</v>
      </c>
      <c r="J154" t="s">
        <v>494</v>
      </c>
    </row>
    <row r="155" spans="2:10" x14ac:dyDescent="0.3">
      <c r="B155" t="str">
        <f>IF(C155&lt;&gt;"","https://download.postgresql.org",[2]Main!$J$28)&amp;IF(C155="",IF(E155&lt;&gt;"8","/"&amp;E155&amp;"/os/"&amp;IF(OR(E155="8",E155="7"),"x86_64",IF(F155="noarch","x86_64",IF(E155&lt;&gt;"6",F155,IF(F155="i686","i386",F155))))&amp;"/Packages/","/"&amp;E155&amp;"/"&amp;IF(OR(AND(E155="8",LEFT(D155,6)="python"),AND(E155="8",LEFT(D155,17)="redhat-rpm-config")),"AppStream","BaseOS")&amp;"/"&amp;IF(OR(E155="8",E155="7"),"x86_64",IF(F155="noarch","x86_64",IF(E155&lt;&gt;"6",F155,IF(F155="i686","i386",F155))))&amp;"/os/Packages/"),"/pub/repos/yum/"&amp;C155&amp;"/redhat/rhel-"&amp;E155&amp;IF(E155&lt;&gt;"8","Server","")&amp;"-"&amp;IF(E155&lt;&gt;"6",F155,IF(F155="i686","i386",F155))&amp;"/")</f>
        <v>http://mirror.kakao.com/centos/8/BaseOS/x86_64/os/Packages/</v>
      </c>
      <c r="C155" s="20" t="str">
        <f t="shared" ref="C155:C196" si="15">IF(IF(LEFT(D155,10)="postgresql",RIGHT(LEFT(D155,12),2),"")&gt;"90",IF(LEFT(D155,10)="postgresql",RIGHT(LEFT(D155,12),2),"")/10,IF(LEFT(D155,10)="postgresql",RIGHT(LEFT(D155,12),2),""))</f>
        <v/>
      </c>
      <c r="D155" t="s">
        <v>67</v>
      </c>
      <c r="E155" s="20" t="s">
        <v>128</v>
      </c>
      <c r="F155" t="s">
        <v>103</v>
      </c>
      <c r="G155">
        <f t="shared" si="13"/>
        <v>1</v>
      </c>
      <c r="I155" t="str">
        <f t="shared" si="14"/>
        <v>libicu*el8*x86_64.rpm</v>
      </c>
      <c r="J155" t="s">
        <v>285</v>
      </c>
    </row>
    <row r="156" spans="2:10" x14ac:dyDescent="0.3">
      <c r="B156" t="str">
        <f>IF(C156&lt;&gt;"","https://download.postgresql.org",[2]Main!$J$28)&amp;IF(C156="",IF(E156&lt;&gt;"8","/"&amp;E156&amp;"/os/"&amp;IF(OR(E156="8",E156="7"),"x86_64",IF(F156="noarch","x86_64",IF(E156&lt;&gt;"6",F156,IF(F156="i686","i386",F156))))&amp;"/Packages/","/"&amp;E156&amp;"/"&amp;IF(OR(AND(E156="8",LEFT(D156,6)="python"),AND(E156="8",LEFT(D156,17)="redhat-rpm-config")),"AppStream","BaseOS")&amp;"/"&amp;IF(OR(E156="8",E156="7"),"x86_64",IF(F156="noarch","x86_64",IF(E156&lt;&gt;"6",F156,IF(F156="i686","i386",F156))))&amp;"/os/Packages/"),"/pub/repos/yum/"&amp;C156&amp;"/redhat/rhel-"&amp;E156&amp;IF(E156&lt;&gt;"8","Server","")&amp;"-"&amp;IF(E156&lt;&gt;"6",F156,IF(F156="i686","i386",F156))&amp;"/")</f>
        <v>http://mirror.kakao.com/centos/8/BaseOS/x86_64/os/Packages/</v>
      </c>
      <c r="C156" s="20" t="str">
        <f t="shared" si="15"/>
        <v/>
      </c>
      <c r="D156" t="s">
        <v>70</v>
      </c>
      <c r="E156" s="20" t="s">
        <v>128</v>
      </c>
      <c r="F156" t="s">
        <v>103</v>
      </c>
      <c r="G156">
        <f t="shared" si="13"/>
        <v>1</v>
      </c>
      <c r="I156" t="str">
        <f t="shared" si="14"/>
        <v>libxslt*el8*x86_64.rpm</v>
      </c>
      <c r="J156" t="s">
        <v>493</v>
      </c>
    </row>
    <row r="157" spans="2:10" x14ac:dyDescent="0.3">
      <c r="B157" t="str">
        <f>IF(C157&lt;&gt;"","https://download.postgresql.org",[2]Main!$J$28)&amp;IF(C157="",IF(E157&lt;&gt;"8","/"&amp;E157&amp;"/os/"&amp;IF(OR(E157="8",E157="7"),"x86_64",IF(F157="noarch","x86_64",IF(E157&lt;&gt;"6",F157,IF(F157="i686","i386",F157))))&amp;"/Packages/","/"&amp;E157&amp;"/"&amp;IF(OR(AND(E157="8",LEFT(D157,6)="python"),AND(E157="8",LEFT(D157,17)="redhat-rpm-config")),"AppStream","BaseOS")&amp;"/"&amp;IF(OR(E157="8",E157="7"),"x86_64",IF(F157="noarch","x86_64",IF(E157&lt;&gt;"6",F157,IF(F157="i686","i386",F157))))&amp;"/os/Packages/"),"/pub/repos/yum/"&amp;C157&amp;"/redhat/rhel-"&amp;E157&amp;IF(E157&lt;&gt;"8","Server","")&amp;"-"&amp;IF(E157&lt;&gt;"6",F157,IF(F157="i686","i386",F157))&amp;"/")</f>
        <v>http://mirror.kakao.com/centos/8/BaseOS/x86_64/os/Packages/</v>
      </c>
      <c r="C157" s="20" t="str">
        <f t="shared" si="15"/>
        <v/>
      </c>
      <c r="D157" t="s">
        <v>118</v>
      </c>
      <c r="E157" s="20" t="s">
        <v>128</v>
      </c>
      <c r="F157" t="s">
        <v>103</v>
      </c>
      <c r="G157">
        <f t="shared" si="13"/>
        <v>1</v>
      </c>
      <c r="I157" t="str">
        <f t="shared" si="14"/>
        <v>perl-Encode*el8*x86_64.rpm</v>
      </c>
      <c r="J157" t="s">
        <v>286</v>
      </c>
    </row>
    <row r="158" spans="2:10" x14ac:dyDescent="0.3">
      <c r="B158" t="str">
        <f>IF(C158&lt;&gt;"","https://download.postgresql.org",[2]Main!$J$28)&amp;IF(C158="",IF(E158&lt;&gt;"8","/"&amp;E158&amp;"/os/"&amp;IF(OR(E158="8",E158="7"),"x86_64",IF(F158="noarch","x86_64",IF(E158&lt;&gt;"6",F158,IF(F158="i686","i386",F158))))&amp;"/Packages/","/"&amp;E158&amp;"/"&amp;IF(OR(AND(E158="8",LEFT(D158,6)="python"),AND(E158="8",LEFT(D158,17)="redhat-rpm-config")),"AppStream","BaseOS")&amp;"/"&amp;IF(OR(E158="8",E158="7"),"x86_64",IF(F158="noarch","x86_64",IF(E158&lt;&gt;"6",F158,IF(F158="i686","i386",F158))))&amp;"/os/Packages/"),"/pub/repos/yum/"&amp;C158&amp;"/redhat/rhel-"&amp;E158&amp;IF(E158&lt;&gt;"8","Server","")&amp;"-"&amp;IF(E158&lt;&gt;"6",F158,IF(F158="i686","i386",F158))&amp;"/")</f>
        <v>http://mirror.kakao.com/centos/8/BaseOS/x86_64/os/Packages/</v>
      </c>
      <c r="C158" s="20" t="str">
        <f t="shared" si="15"/>
        <v/>
      </c>
      <c r="D158" t="s">
        <v>133</v>
      </c>
      <c r="E158" s="20" t="s">
        <v>128</v>
      </c>
      <c r="F158" t="s">
        <v>103</v>
      </c>
      <c r="G158">
        <f t="shared" si="13"/>
        <v>1</v>
      </c>
      <c r="I158" t="str">
        <f t="shared" si="14"/>
        <v>perl-Errno*el8*x86_64.rpm</v>
      </c>
      <c r="J158" t="s">
        <v>231</v>
      </c>
    </row>
    <row r="159" spans="2:10" x14ac:dyDescent="0.3">
      <c r="B159" t="str">
        <f>IF(C159&lt;&gt;"","https://download.postgresql.org",[2]Main!$J$28)&amp;IF(C159="",IF(E159&lt;&gt;"8","/"&amp;E159&amp;"/os/"&amp;IF(OR(E159="8",E159="7"),"x86_64",IF(F159="noarch","x86_64",IF(E159&lt;&gt;"6",F159,IF(F159="i686","i386",F159))))&amp;"/Packages/","/"&amp;E159&amp;"/"&amp;IF(OR(AND(E159="8",LEFT(D159,6)="python"),AND(E159="8",LEFT(D159,17)="redhat-rpm-config")),"AppStream","BaseOS")&amp;"/"&amp;IF(OR(E159="8",E159="7"),"x86_64",IF(F159="noarch","x86_64",IF(E159&lt;&gt;"6",F159,IF(F159="i686","i386",F159))))&amp;"/os/Packages/"),"/pub/repos/yum/"&amp;C159&amp;"/redhat/rhel-"&amp;E159&amp;IF(E159&lt;&gt;"8","Server","")&amp;"-"&amp;IF(E159&lt;&gt;"6",F159,IF(F159="i686","i386",F159))&amp;"/")</f>
        <v>http://mirror.kakao.com/centos/8/BaseOS/x86_64/os/Packages/</v>
      </c>
      <c r="C159" s="20" t="str">
        <f t="shared" si="15"/>
        <v/>
      </c>
      <c r="D159" t="s">
        <v>134</v>
      </c>
      <c r="E159" s="20" t="s">
        <v>128</v>
      </c>
      <c r="F159" t="s">
        <v>103</v>
      </c>
      <c r="G159">
        <f t="shared" si="13"/>
        <v>1</v>
      </c>
      <c r="I159" t="str">
        <f t="shared" si="14"/>
        <v>perl-interpreter*el8*x86_64.rpm</v>
      </c>
      <c r="J159" t="s">
        <v>232</v>
      </c>
    </row>
    <row r="160" spans="2:10" x14ac:dyDescent="0.3">
      <c r="B160" t="str">
        <f>IF(C160&lt;&gt;"","https://download.postgresql.org",[2]Main!$J$28)&amp;IF(C160="",IF(E160&lt;&gt;"8","/"&amp;E160&amp;"/os/"&amp;IF(OR(E160="8",E160="7"),"x86_64",IF(F160="noarch","x86_64",IF(E160&lt;&gt;"6",F160,IF(F160="i686","i386",F160))))&amp;"/Packages/","/"&amp;E160&amp;"/"&amp;IF(OR(AND(E160="8",LEFT(D160,6)="python"),AND(E160="8",LEFT(D160,17)="redhat-rpm-config")),"AppStream","BaseOS")&amp;"/"&amp;IF(OR(E160="8",E160="7"),"x86_64",IF(F160="noarch","x86_64",IF(E160&lt;&gt;"6",F160,IF(F160="i686","i386",F160))))&amp;"/os/Packages/"),"/pub/repos/yum/"&amp;C160&amp;"/redhat/rhel-"&amp;E160&amp;IF(E160&lt;&gt;"8","Server","")&amp;"-"&amp;IF(E160&lt;&gt;"6",F160,IF(F160="i686","i386",F160))&amp;"/")</f>
        <v>http://mirror.kakao.com/centos/8/BaseOS/x86_64/os/Packages/</v>
      </c>
      <c r="C160" s="20" t="str">
        <f t="shared" si="15"/>
        <v/>
      </c>
      <c r="D160" t="s">
        <v>135</v>
      </c>
      <c r="E160" s="20" t="s">
        <v>128</v>
      </c>
      <c r="F160" t="s">
        <v>103</v>
      </c>
      <c r="G160">
        <f t="shared" si="13"/>
        <v>1</v>
      </c>
      <c r="I160" t="str">
        <f t="shared" si="14"/>
        <v>perl-IO*el8*x86_64.rpm</v>
      </c>
      <c r="J160" t="s">
        <v>233</v>
      </c>
    </row>
    <row r="161" spans="2:10" x14ac:dyDescent="0.3">
      <c r="B161" t="str">
        <f>IF(C161&lt;&gt;"","https://download.postgresql.org",[2]Main!$J$28)&amp;IF(C161="",IF(E161&lt;&gt;"8","/"&amp;E161&amp;"/os/"&amp;IF(OR(E161="8",E161="7"),"x86_64",IF(F161="noarch","x86_64",IF(E161&lt;&gt;"6",F161,IF(F161="i686","i386",F161))))&amp;"/Packages/","/"&amp;E161&amp;"/"&amp;IF(OR(AND(E161="8",LEFT(D161,6)="python"),AND(E161="8",LEFT(D161,17)="redhat-rpm-config")),"AppStream","BaseOS")&amp;"/"&amp;IF(OR(E161="8",E161="7"),"x86_64",IF(F161="noarch","x86_64",IF(E161&lt;&gt;"6",F161,IF(F161="i686","i386",F161))))&amp;"/os/Packages/"),"/pub/repos/yum/"&amp;C161&amp;"/redhat/rhel-"&amp;E161&amp;IF(E161&lt;&gt;"8","Server","")&amp;"-"&amp;IF(E161&lt;&gt;"6",F161,IF(F161="i686","i386",F161))&amp;"/")</f>
        <v>http://mirror.kakao.com/centos/8/BaseOS/x86_64/os/Packages/</v>
      </c>
      <c r="C161" s="20" t="str">
        <f t="shared" si="15"/>
        <v/>
      </c>
      <c r="D161" t="s">
        <v>72</v>
      </c>
      <c r="E161" s="20" t="s">
        <v>128</v>
      </c>
      <c r="F161" t="s">
        <v>103</v>
      </c>
      <c r="G161">
        <f t="shared" si="13"/>
        <v>1</v>
      </c>
      <c r="I161" t="str">
        <f t="shared" si="14"/>
        <v>perl-libs*el8*x86_64.rpm</v>
      </c>
      <c r="J161" t="s">
        <v>234</v>
      </c>
    </row>
    <row r="162" spans="2:10" x14ac:dyDescent="0.3">
      <c r="B162" t="str">
        <f>IF(C162&lt;&gt;"","https://download.postgresql.org",[2]Main!$J$28)&amp;IF(C162="",IF(E162&lt;&gt;"8","/"&amp;E162&amp;"/os/"&amp;IF(OR(E162="8",E162="7"),"x86_64",IF(F162="noarch","x86_64",IF(E162&lt;&gt;"6",F162,IF(F162="i686","i386",F162))))&amp;"/Packages/","/"&amp;E162&amp;"/"&amp;IF(OR(AND(E162="8",LEFT(D162,6)="python"),AND(E162="8",LEFT(D162,17)="redhat-rpm-config")),"AppStream","BaseOS")&amp;"/"&amp;IF(OR(E162="8",E162="7"),"x86_64",IF(F162="noarch","x86_64",IF(E162&lt;&gt;"6",F162,IF(F162="i686","i386",F162))))&amp;"/os/Packages/"),"/pub/repos/yum/"&amp;C162&amp;"/redhat/rhel-"&amp;E162&amp;IF(E162&lt;&gt;"8","Server","")&amp;"-"&amp;IF(E162&lt;&gt;"6",F162,IF(F162="i686","i386",F162))&amp;"/")</f>
        <v>http://mirror.kakao.com/centos/8/BaseOS/x86_64/os/Packages/</v>
      </c>
      <c r="C162" s="20" t="str">
        <f t="shared" si="15"/>
        <v/>
      </c>
      <c r="D162" t="s">
        <v>120</v>
      </c>
      <c r="E162" s="20" t="s">
        <v>128</v>
      </c>
      <c r="F162" t="s">
        <v>103</v>
      </c>
      <c r="G162">
        <f t="shared" ref="G162:G196" si="16">IF(B162=B163,1,0)</f>
        <v>1</v>
      </c>
      <c r="I162" t="str">
        <f t="shared" ref="I162:I196" si="17">D162&amp;"*"&amp;IF(C162&lt;&gt;"","rhel","el")&amp;E162&amp;"*"&amp;F162&amp;".rpm"</f>
        <v>perl-macros*el8*x86_64.rpm</v>
      </c>
      <c r="J162" t="s">
        <v>235</v>
      </c>
    </row>
    <row r="163" spans="2:10" x14ac:dyDescent="0.3">
      <c r="B163" t="str">
        <f>IF(C163&lt;&gt;"","https://download.postgresql.org",[2]Main!$J$28)&amp;IF(C163="",IF(E163&lt;&gt;"8","/"&amp;E163&amp;"/os/"&amp;IF(OR(E163="8",E163="7"),"x86_64",IF(F163="noarch","x86_64",IF(E163&lt;&gt;"6",F163,IF(F163="i686","i386",F163))))&amp;"/Packages/","/"&amp;E163&amp;"/"&amp;IF(OR(AND(E163="8",LEFT(D163,6)="python"),AND(E163="8",LEFT(D163,17)="redhat-rpm-config")),"AppStream","BaseOS")&amp;"/"&amp;IF(OR(E163="8",E163="7"),"x86_64",IF(F163="noarch","x86_64",IF(E163&lt;&gt;"6",F163,IF(F163="i686","i386",F163))))&amp;"/os/Packages/"),"/pub/repos/yum/"&amp;C163&amp;"/redhat/rhel-"&amp;E163&amp;IF(E163&lt;&gt;"8","Server","")&amp;"-"&amp;IF(E163&lt;&gt;"6",F163,IF(F163="i686","i386",F163))&amp;"/")</f>
        <v>http://mirror.kakao.com/centos/8/BaseOS/x86_64/os/Packages/</v>
      </c>
      <c r="C163" s="20" t="str">
        <f t="shared" si="15"/>
        <v/>
      </c>
      <c r="D163" t="s">
        <v>136</v>
      </c>
      <c r="E163" s="20" t="s">
        <v>128</v>
      </c>
      <c r="F163" t="s">
        <v>103</v>
      </c>
      <c r="G163">
        <f t="shared" si="16"/>
        <v>1</v>
      </c>
      <c r="I163" t="str">
        <f t="shared" si="17"/>
        <v>perl-MIME-Base64*el8*x86_64.rpm</v>
      </c>
      <c r="J163" t="s">
        <v>236</v>
      </c>
    </row>
    <row r="164" spans="2:10" x14ac:dyDescent="0.3">
      <c r="B164" t="str">
        <f>IF(C164&lt;&gt;"","https://download.postgresql.org",[2]Main!$J$28)&amp;IF(C164="",IF(E164&lt;&gt;"8","/"&amp;E164&amp;"/os/"&amp;IF(OR(E164="8",E164="7"),"x86_64",IF(F164="noarch","x86_64",IF(E164&lt;&gt;"6",F164,IF(F164="i686","i386",F164))))&amp;"/Packages/","/"&amp;E164&amp;"/"&amp;IF(OR(AND(E164="8",LEFT(D164,6)="python"),AND(E164="8",LEFT(D164,17)="redhat-rpm-config")),"AppStream","BaseOS")&amp;"/"&amp;IF(OR(E164="8",E164="7"),"x86_64",IF(F164="noarch","x86_64",IF(E164&lt;&gt;"6",F164,IF(F164="i686","i386",F164))))&amp;"/os/Packages/"),"/pub/repos/yum/"&amp;C164&amp;"/redhat/rhel-"&amp;E164&amp;IF(E164&lt;&gt;"8","Server","")&amp;"-"&amp;IF(E164&lt;&gt;"6",F164,IF(F164="i686","i386",F164))&amp;"/")</f>
        <v>http://mirror.kakao.com/centos/8/BaseOS/x86_64/os/Packages/</v>
      </c>
      <c r="C164" s="20" t="str">
        <f t="shared" si="15"/>
        <v/>
      </c>
      <c r="D164" t="s">
        <v>121</v>
      </c>
      <c r="E164" s="20" t="s">
        <v>128</v>
      </c>
      <c r="F164" t="s">
        <v>103</v>
      </c>
      <c r="G164">
        <f t="shared" si="16"/>
        <v>1</v>
      </c>
      <c r="I164" t="str">
        <f t="shared" si="17"/>
        <v>perl-PathTools*el8*x86_64.rpm</v>
      </c>
      <c r="J164" t="s">
        <v>237</v>
      </c>
    </row>
    <row r="165" spans="2:10" x14ac:dyDescent="0.3">
      <c r="B165" t="str">
        <f>IF(C165&lt;&gt;"","https://download.postgresql.org",[2]Main!$J$28)&amp;IF(C165="",IF(E165&lt;&gt;"8","/"&amp;E165&amp;"/os/"&amp;IF(OR(E165="8",E165="7"),"x86_64",IF(F165="noarch","x86_64",IF(E165&lt;&gt;"6",F165,IF(F165="i686","i386",F165))))&amp;"/Packages/","/"&amp;E165&amp;"/"&amp;IF(OR(AND(E165="8",LEFT(D165,6)="python"),AND(E165="8",LEFT(D165,17)="redhat-rpm-config")),"AppStream","BaseOS")&amp;"/"&amp;IF(OR(E165="8",E165="7"),"x86_64",IF(F165="noarch","x86_64",IF(E165&lt;&gt;"6",F165,IF(F165="i686","i386",F165))))&amp;"/os/Packages/"),"/pub/repos/yum/"&amp;C165&amp;"/redhat/rhel-"&amp;E165&amp;IF(E165&lt;&gt;"8","Server","")&amp;"-"&amp;IF(E165&lt;&gt;"6",F165,IF(F165="i686","i386",F165))&amp;"/")</f>
        <v>http://mirror.kakao.com/centos/8/BaseOS/x86_64/os/Packages/</v>
      </c>
      <c r="C165" s="20" t="str">
        <f t="shared" si="15"/>
        <v/>
      </c>
      <c r="D165" t="s">
        <v>122</v>
      </c>
      <c r="E165" s="20" t="s">
        <v>128</v>
      </c>
      <c r="F165" t="s">
        <v>103</v>
      </c>
      <c r="G165">
        <f t="shared" si="16"/>
        <v>1</v>
      </c>
      <c r="I165" t="str">
        <f t="shared" si="17"/>
        <v>perl-Scalar-List-Utils*el8*x86_64.rpm</v>
      </c>
      <c r="J165" t="s">
        <v>238</v>
      </c>
    </row>
    <row r="166" spans="2:10" x14ac:dyDescent="0.3">
      <c r="B166" t="str">
        <f>IF(C166&lt;&gt;"","https://download.postgresql.org",[2]Main!$J$28)&amp;IF(C166="",IF(E166&lt;&gt;"8","/"&amp;E166&amp;"/os/"&amp;IF(OR(E166="8",E166="7"),"x86_64",IF(F166="noarch","x86_64",IF(E166&lt;&gt;"6",F166,IF(F166="i686","i386",F166))))&amp;"/Packages/","/"&amp;E166&amp;"/"&amp;IF(OR(AND(E166="8",LEFT(D166,6)="python"),AND(E166="8",LEFT(D166,17)="redhat-rpm-config")),"AppStream","BaseOS")&amp;"/"&amp;IF(OR(E166="8",E166="7"),"x86_64",IF(F166="noarch","x86_64",IF(E166&lt;&gt;"6",F166,IF(F166="i686","i386",F166))))&amp;"/os/Packages/"),"/pub/repos/yum/"&amp;C166&amp;"/redhat/rhel-"&amp;E166&amp;IF(E166&lt;&gt;"8","Server","")&amp;"-"&amp;IF(E166&lt;&gt;"6",F166,IF(F166="i686","i386",F166))&amp;"/")</f>
        <v>http://mirror.kakao.com/centos/8/BaseOS/x86_64/os/Packages/</v>
      </c>
      <c r="C166" s="20" t="str">
        <f t="shared" si="15"/>
        <v/>
      </c>
      <c r="D166" t="s">
        <v>123</v>
      </c>
      <c r="E166" s="20" t="s">
        <v>128</v>
      </c>
      <c r="F166" t="s">
        <v>103</v>
      </c>
      <c r="G166">
        <f t="shared" si="16"/>
        <v>1</v>
      </c>
      <c r="I166" t="str">
        <f t="shared" si="17"/>
        <v>perl-Socket*el8*x86_64.rpm</v>
      </c>
      <c r="J166" t="s">
        <v>301</v>
      </c>
    </row>
    <row r="167" spans="2:10" x14ac:dyDescent="0.3">
      <c r="B167" t="str">
        <f>IF(C167&lt;&gt;"","https://download.postgresql.org",[2]Main!$J$28)&amp;IF(C167="",IF(E167&lt;&gt;"8","/"&amp;E167&amp;"/os/"&amp;IF(OR(E167="8",E167="7"),"x86_64",IF(F167="noarch","x86_64",IF(E167&lt;&gt;"6",F167,IF(F167="i686","i386",F167))))&amp;"/Packages/","/"&amp;E167&amp;"/"&amp;IF(OR(AND(E167="8",LEFT(D167,6)="python"),AND(E167="8",LEFT(D167,17)="redhat-rpm-config")),"AppStream","BaseOS")&amp;"/"&amp;IF(OR(E167="8",E167="7"),"x86_64",IF(F167="noarch","x86_64",IF(E167&lt;&gt;"6",F167,IF(F167="i686","i386",F167))))&amp;"/os/Packages/"),"/pub/repos/yum/"&amp;C167&amp;"/redhat/rhel-"&amp;E167&amp;IF(E167&lt;&gt;"8","Server","")&amp;"-"&amp;IF(E167&lt;&gt;"6",F167,IF(F167="i686","i386",F167))&amp;"/")</f>
        <v>http://mirror.kakao.com/centos/8/BaseOS/x86_64/os/Packages/</v>
      </c>
      <c r="C167" s="20" t="str">
        <f t="shared" si="15"/>
        <v/>
      </c>
      <c r="D167" t="s">
        <v>124</v>
      </c>
      <c r="E167" s="20" t="s">
        <v>128</v>
      </c>
      <c r="F167" t="s">
        <v>103</v>
      </c>
      <c r="G167">
        <f t="shared" si="16"/>
        <v>1</v>
      </c>
      <c r="I167" t="str">
        <f t="shared" si="17"/>
        <v>perl-Storable*el8*x86_64.rpm</v>
      </c>
      <c r="J167" t="s">
        <v>239</v>
      </c>
    </row>
    <row r="168" spans="2:10" x14ac:dyDescent="0.3">
      <c r="B168" t="str">
        <f>IF(C168&lt;&gt;"","https://download.postgresql.org",[2]Main!$J$28)&amp;IF(C168="",IF(E168&lt;&gt;"8","/"&amp;E168&amp;"/os/"&amp;IF(OR(E168="8",E168="7"),"x86_64",IF(F168="noarch","x86_64",IF(E168&lt;&gt;"6",F168,IF(F168="i686","i386",F168))))&amp;"/Packages/","/"&amp;E168&amp;"/"&amp;IF(OR(AND(E168="8",LEFT(D168,6)="python"),AND(E168="8",LEFT(D168,17)="redhat-rpm-config")),"AppStream","BaseOS")&amp;"/"&amp;IF(OR(E168="8",E168="7"),"x86_64",IF(F168="noarch","x86_64",IF(E168&lt;&gt;"6",F168,IF(F168="i686","i386",F168))))&amp;"/os/Packages/"),"/pub/repos/yum/"&amp;C168&amp;"/redhat/rhel-"&amp;E168&amp;IF(E168&lt;&gt;"8","Server","")&amp;"-"&amp;IF(E168&lt;&gt;"6",F168,IF(F168="i686","i386",F168))&amp;"/")</f>
        <v>http://mirror.kakao.com/centos/8/BaseOS/x86_64/os/Packages/</v>
      </c>
      <c r="C168" s="20" t="str">
        <f t="shared" si="15"/>
        <v/>
      </c>
      <c r="D168" t="s">
        <v>125</v>
      </c>
      <c r="E168" s="20" t="s">
        <v>128</v>
      </c>
      <c r="F168" t="s">
        <v>103</v>
      </c>
      <c r="G168">
        <f t="shared" si="16"/>
        <v>1</v>
      </c>
      <c r="I168" t="str">
        <f t="shared" si="17"/>
        <v>perl-threads*el8*x86_64.rpm</v>
      </c>
      <c r="J168" t="s">
        <v>302</v>
      </c>
    </row>
    <row r="169" spans="2:10" x14ac:dyDescent="0.3">
      <c r="B169" t="str">
        <f>IF(C169&lt;&gt;"","https://download.postgresql.org",[2]Main!$J$28)&amp;IF(C169="",IF(E169&lt;&gt;"8","/"&amp;E169&amp;"/os/"&amp;IF(OR(E169="8",E169="7"),"x86_64",IF(F169="noarch","x86_64",IF(E169&lt;&gt;"6",F169,IF(F169="i686","i386",F169))))&amp;"/Packages/","/"&amp;E169&amp;"/"&amp;IF(OR(AND(E169="8",LEFT(D169,6)="python"),AND(E169="8",LEFT(D169,17)="redhat-rpm-config")),"AppStream","BaseOS")&amp;"/"&amp;IF(OR(E169="8",E169="7"),"x86_64",IF(F169="noarch","x86_64",IF(E169&lt;&gt;"6",F169,IF(F169="i686","i386",F169))))&amp;"/os/Packages/"),"/pub/repos/yum/"&amp;C169&amp;"/redhat/rhel-"&amp;E169&amp;IF(E169&lt;&gt;"8","Server","")&amp;"-"&amp;IF(E169&lt;&gt;"6",F169,IF(F169="i686","i386",F169))&amp;"/")</f>
        <v>http://mirror.kakao.com/centos/8/BaseOS/x86_64/os/Packages/</v>
      </c>
      <c r="C169" s="20" t="str">
        <f t="shared" si="15"/>
        <v/>
      </c>
      <c r="D169" t="s">
        <v>126</v>
      </c>
      <c r="E169" s="20" t="s">
        <v>128</v>
      </c>
      <c r="F169" t="s">
        <v>103</v>
      </c>
      <c r="G169">
        <f t="shared" si="16"/>
        <v>1</v>
      </c>
      <c r="I169" t="str">
        <f t="shared" si="17"/>
        <v>perl-threads-shared*el8*x86_64.rpm</v>
      </c>
      <c r="J169" t="s">
        <v>303</v>
      </c>
    </row>
    <row r="170" spans="2:10" x14ac:dyDescent="0.3">
      <c r="B170" t="str">
        <f>IF(C170&lt;&gt;"","https://download.postgresql.org",[2]Main!$J$28)&amp;IF(C170="",IF(E170&lt;&gt;"8","/"&amp;E170&amp;"/os/"&amp;IF(OR(E170="8",E170="7"),"x86_64",IF(F170="noarch","x86_64",IF(E170&lt;&gt;"6",F170,IF(F170="i686","i386",F170))))&amp;"/Packages/","/"&amp;E170&amp;"/"&amp;IF(OR(AND(E170="8",LEFT(D170,6)="python"),AND(E170="8",LEFT(D170,17)="redhat-rpm-config")),"AppStream","BaseOS")&amp;"/"&amp;IF(OR(E170="8",E170="7"),"x86_64",IF(F170="noarch","x86_64",IF(E170&lt;&gt;"6",F170,IF(F170="i686","i386",F170))))&amp;"/os/Packages/"),"/pub/repos/yum/"&amp;C170&amp;"/redhat/rhel-"&amp;E170&amp;IF(E170&lt;&gt;"8","Server","")&amp;"-"&amp;IF(E170&lt;&gt;"6",F170,IF(F170="i686","i386",F170))&amp;"/")</f>
        <v>http://mirror.kakao.com/centos/8/BaseOS/x86_64/os/Packages/</v>
      </c>
      <c r="C170" s="20" t="str">
        <f t="shared" si="15"/>
        <v/>
      </c>
      <c r="D170" t="s">
        <v>137</v>
      </c>
      <c r="E170" s="20" t="s">
        <v>128</v>
      </c>
      <c r="F170" t="s">
        <v>103</v>
      </c>
      <c r="G170">
        <f t="shared" si="16"/>
        <v>0</v>
      </c>
      <c r="I170" t="str">
        <f t="shared" si="17"/>
        <v>perl-Unicode-Normalize*el8*x86_64.rpm</v>
      </c>
      <c r="J170" t="s">
        <v>240</v>
      </c>
    </row>
    <row r="171" spans="2:10" x14ac:dyDescent="0.3">
      <c r="B171" t="str">
        <f>IF(C171&lt;&gt;"","https://download.postgresql.org",[2]Main!$J$28)&amp;IF(C171="",IF(E171&lt;&gt;"8","/"&amp;E171&amp;"/os/"&amp;IF(OR(E171="8",E171="7"),"x86_64",IF(F171="noarch","x86_64",IF(E171&lt;&gt;"6",F171,IF(F171="i686","i386",F171))))&amp;"/Packages/","/"&amp;E171&amp;"/"&amp;IF(OR(AND(E171="8",LEFT(D171,6)="python"),AND(E171="8",LEFT(D171,17)="redhat-rpm-config")),"AppStream","BaseOS")&amp;"/"&amp;IF(OR(E171="8",E171="7"),"x86_64",IF(F171="noarch","x86_64",IF(E171&lt;&gt;"6",F171,IF(F171="i686","i386",F171))))&amp;"/os/Packages/"),"/pub/repos/yum/"&amp;C171&amp;"/redhat/rhel-"&amp;E171&amp;IF(E171&lt;&gt;"8","Server","")&amp;"-"&amp;IF(E171&lt;&gt;"6",F171,IF(F171="i686","i386",F171))&amp;"/")</f>
        <v>https://download.postgresql.org/pub/repos/yum/10/redhat/rhel-8-x86_64/</v>
      </c>
      <c r="C171" s="20" t="str">
        <f t="shared" si="15"/>
        <v>10</v>
      </c>
      <c r="D171" t="s">
        <v>77</v>
      </c>
      <c r="E171" s="20" t="s">
        <v>128</v>
      </c>
      <c r="F171" t="s">
        <v>103</v>
      </c>
      <c r="G171">
        <f t="shared" si="16"/>
        <v>1</v>
      </c>
      <c r="I171" t="str">
        <f t="shared" si="17"/>
        <v>postgresql10*rhel8*x86_64.rpm</v>
      </c>
      <c r="J171" t="s">
        <v>265</v>
      </c>
    </row>
    <row r="172" spans="2:10" x14ac:dyDescent="0.3">
      <c r="B172" t="str">
        <f>IF(C172&lt;&gt;"","https://download.postgresql.org",[2]Main!$J$28)&amp;IF(C172="",IF(E172&lt;&gt;"8","/"&amp;E172&amp;"/os/"&amp;IF(OR(E172="8",E172="7"),"x86_64",IF(F172="noarch","x86_64",IF(E172&lt;&gt;"6",F172,IF(F172="i686","i386",F172))))&amp;"/Packages/","/"&amp;E172&amp;"/"&amp;IF(OR(AND(E172="8",LEFT(D172,6)="python"),AND(E172="8",LEFT(D172,17)="redhat-rpm-config")),"AppStream","BaseOS")&amp;"/"&amp;IF(OR(E172="8",E172="7"),"x86_64",IF(F172="noarch","x86_64",IF(E172&lt;&gt;"6",F172,IF(F172="i686","i386",F172))))&amp;"/os/Packages/"),"/pub/repos/yum/"&amp;C172&amp;"/redhat/rhel-"&amp;E172&amp;IF(E172&lt;&gt;"8","Server","")&amp;"-"&amp;IF(E172&lt;&gt;"6",F172,IF(F172="i686","i386",F172))&amp;"/")</f>
        <v>https://download.postgresql.org/pub/repos/yum/10/redhat/rhel-8-x86_64/</v>
      </c>
      <c r="C172" s="20" t="str">
        <f t="shared" si="15"/>
        <v>10</v>
      </c>
      <c r="D172" t="s">
        <v>78</v>
      </c>
      <c r="E172" s="20" t="s">
        <v>128</v>
      </c>
      <c r="F172" t="s">
        <v>103</v>
      </c>
      <c r="G172">
        <f t="shared" si="16"/>
        <v>1</v>
      </c>
      <c r="I172" t="str">
        <f t="shared" si="17"/>
        <v>postgresql10-contrib*rhel8*x86_64.rpm</v>
      </c>
      <c r="J172" t="s">
        <v>241</v>
      </c>
    </row>
    <row r="173" spans="2:10" x14ac:dyDescent="0.3">
      <c r="B173" t="str">
        <f>IF(C173&lt;&gt;"","https://download.postgresql.org",[2]Main!$J$28)&amp;IF(C173="",IF(E173&lt;&gt;"8","/"&amp;E173&amp;"/os/"&amp;IF(OR(E173="8",E173="7"),"x86_64",IF(F173="noarch","x86_64",IF(E173&lt;&gt;"6",F173,IF(F173="i686","i386",F173))))&amp;"/Packages/","/"&amp;E173&amp;"/"&amp;IF(OR(AND(E173="8",LEFT(D173,6)="python"),AND(E173="8",LEFT(D173,17)="redhat-rpm-config")),"AppStream","BaseOS")&amp;"/"&amp;IF(OR(E173="8",E173="7"),"x86_64",IF(F173="noarch","x86_64",IF(E173&lt;&gt;"6",F173,IF(F173="i686","i386",F173))))&amp;"/os/Packages/"),"/pub/repos/yum/"&amp;C173&amp;"/redhat/rhel-"&amp;E173&amp;IF(E173&lt;&gt;"8","Server","")&amp;"-"&amp;IF(E173&lt;&gt;"6",F173,IF(F173="i686","i386",F173))&amp;"/")</f>
        <v>https://download.postgresql.org/pub/repos/yum/10/redhat/rhel-8-x86_64/</v>
      </c>
      <c r="C173" s="20" t="str">
        <f t="shared" si="15"/>
        <v>10</v>
      </c>
      <c r="D173" t="s">
        <v>79</v>
      </c>
      <c r="E173" s="20" t="s">
        <v>128</v>
      </c>
      <c r="F173" t="s">
        <v>103</v>
      </c>
      <c r="G173">
        <f t="shared" si="16"/>
        <v>1</v>
      </c>
      <c r="I173" t="str">
        <f t="shared" si="17"/>
        <v>postgresql10-libs*rhel8*x86_64.rpm</v>
      </c>
      <c r="J173" t="s">
        <v>242</v>
      </c>
    </row>
    <row r="174" spans="2:10" x14ac:dyDescent="0.3">
      <c r="B174" t="str">
        <f>IF(C174&lt;&gt;"","https://download.postgresql.org",[2]Main!$J$28)&amp;IF(C174="",IF(E174&lt;&gt;"8","/"&amp;E174&amp;"/os/"&amp;IF(OR(E174="8",E174="7"),"x86_64",IF(F174="noarch","x86_64",IF(E174&lt;&gt;"6",F174,IF(F174="i686","i386",F174))))&amp;"/Packages/","/"&amp;E174&amp;"/"&amp;IF(OR(AND(E174="8",LEFT(D174,6)="python"),AND(E174="8",LEFT(D174,17)="redhat-rpm-config")),"AppStream","BaseOS")&amp;"/"&amp;IF(OR(E174="8",E174="7"),"x86_64",IF(F174="noarch","x86_64",IF(E174&lt;&gt;"6",F174,IF(F174="i686","i386",F174))))&amp;"/os/Packages/"),"/pub/repos/yum/"&amp;C174&amp;"/redhat/rhel-"&amp;E174&amp;IF(E174&lt;&gt;"8","Server","")&amp;"-"&amp;IF(E174&lt;&gt;"6",F174,IF(F174="i686","i386",F174))&amp;"/")</f>
        <v>https://download.postgresql.org/pub/repos/yum/10/redhat/rhel-8-x86_64/</v>
      </c>
      <c r="C174" s="20" t="str">
        <f t="shared" si="15"/>
        <v>10</v>
      </c>
      <c r="D174" t="s">
        <v>80</v>
      </c>
      <c r="E174" s="20" t="s">
        <v>128</v>
      </c>
      <c r="F174" t="s">
        <v>103</v>
      </c>
      <c r="G174">
        <f t="shared" si="16"/>
        <v>0</v>
      </c>
      <c r="I174" t="str">
        <f t="shared" si="17"/>
        <v>postgresql10-server*rhel8*x86_64.rpm</v>
      </c>
      <c r="J174" t="s">
        <v>243</v>
      </c>
    </row>
    <row r="175" spans="2:10" x14ac:dyDescent="0.3">
      <c r="B175" t="str">
        <f>IF(C175&lt;&gt;"","https://download.postgresql.org",[2]Main!$J$28)&amp;IF(C175="",IF(E175&lt;&gt;"8","/"&amp;E175&amp;"/os/"&amp;IF(OR(E175="8",E175="7"),"x86_64",IF(F175="noarch","x86_64",IF(E175&lt;&gt;"6",F175,IF(F175="i686","i386",F175))))&amp;"/Packages/","/"&amp;E175&amp;"/"&amp;IF(OR(AND(E175="8",LEFT(D175,6)="python"),AND(E175="8",LEFT(D175,17)="redhat-rpm-config")),"AppStream","BaseOS")&amp;"/"&amp;IF(OR(E175="8",E175="7"),"x86_64",IF(F175="noarch","x86_64",IF(E175&lt;&gt;"6",F175,IF(F175="i686","i386",F175))))&amp;"/os/Packages/"),"/pub/repos/yum/"&amp;C175&amp;"/redhat/rhel-"&amp;E175&amp;IF(E175&lt;&gt;"8","Server","")&amp;"-"&amp;IF(E175&lt;&gt;"6",F175,IF(F175="i686","i386",F175))&amp;"/")</f>
        <v>https://download.postgresql.org/pub/repos/yum/11/redhat/rhel-8-x86_64/</v>
      </c>
      <c r="C175" s="20" t="str">
        <f t="shared" si="15"/>
        <v>11</v>
      </c>
      <c r="D175" t="s">
        <v>81</v>
      </c>
      <c r="E175" s="20" t="s">
        <v>128</v>
      </c>
      <c r="F175" t="s">
        <v>103</v>
      </c>
      <c r="G175">
        <f t="shared" si="16"/>
        <v>1</v>
      </c>
      <c r="I175" t="str">
        <f t="shared" si="17"/>
        <v>postgresql11*rhel8*x86_64.rpm</v>
      </c>
      <c r="J175" t="s">
        <v>388</v>
      </c>
    </row>
    <row r="176" spans="2:10" x14ac:dyDescent="0.3">
      <c r="B176" t="str">
        <f>IF(C176&lt;&gt;"","https://download.postgresql.org",[2]Main!$J$28)&amp;IF(C176="",IF(E176&lt;&gt;"8","/"&amp;E176&amp;"/os/"&amp;IF(OR(E176="8",E176="7"),"x86_64",IF(F176="noarch","x86_64",IF(E176&lt;&gt;"6",F176,IF(F176="i686","i386",F176))))&amp;"/Packages/","/"&amp;E176&amp;"/"&amp;IF(OR(AND(E176="8",LEFT(D176,6)="python"),AND(E176="8",LEFT(D176,17)="redhat-rpm-config")),"AppStream","BaseOS")&amp;"/"&amp;IF(OR(E176="8",E176="7"),"x86_64",IF(F176="noarch","x86_64",IF(E176&lt;&gt;"6",F176,IF(F176="i686","i386",F176))))&amp;"/os/Packages/"),"/pub/repos/yum/"&amp;C176&amp;"/redhat/rhel-"&amp;E176&amp;IF(E176&lt;&gt;"8","Server","")&amp;"-"&amp;IF(E176&lt;&gt;"6",F176,IF(F176="i686","i386",F176))&amp;"/")</f>
        <v>https://download.postgresql.org/pub/repos/yum/11/redhat/rhel-8-x86_64/</v>
      </c>
      <c r="C176" s="20" t="str">
        <f t="shared" si="15"/>
        <v>11</v>
      </c>
      <c r="D176" t="s">
        <v>82</v>
      </c>
      <c r="E176" s="20" t="s">
        <v>128</v>
      </c>
      <c r="F176" t="s">
        <v>103</v>
      </c>
      <c r="G176">
        <f t="shared" si="16"/>
        <v>1</v>
      </c>
      <c r="I176" t="str">
        <f t="shared" si="17"/>
        <v>postgresql11-contrib*rhel8*x86_64.rpm</v>
      </c>
      <c r="J176" t="s">
        <v>389</v>
      </c>
    </row>
    <row r="177" spans="2:10" x14ac:dyDescent="0.3">
      <c r="B177" t="str">
        <f>IF(C177&lt;&gt;"","https://download.postgresql.org",[2]Main!$J$28)&amp;IF(C177="",IF(E177&lt;&gt;"8","/"&amp;E177&amp;"/os/"&amp;IF(OR(E177="8",E177="7"),"x86_64",IF(F177="noarch","x86_64",IF(E177&lt;&gt;"6",F177,IF(F177="i686","i386",F177))))&amp;"/Packages/","/"&amp;E177&amp;"/"&amp;IF(OR(AND(E177="8",LEFT(D177,6)="python"),AND(E177="8",LEFT(D177,17)="redhat-rpm-config")),"AppStream","BaseOS")&amp;"/"&amp;IF(OR(E177="8",E177="7"),"x86_64",IF(F177="noarch","x86_64",IF(E177&lt;&gt;"6",F177,IF(F177="i686","i386",F177))))&amp;"/os/Packages/"),"/pub/repos/yum/"&amp;C177&amp;"/redhat/rhel-"&amp;E177&amp;IF(E177&lt;&gt;"8","Server","")&amp;"-"&amp;IF(E177&lt;&gt;"6",F177,IF(F177="i686","i386",F177))&amp;"/")</f>
        <v>https://download.postgresql.org/pub/repos/yum/11/redhat/rhel-8-x86_64/</v>
      </c>
      <c r="C177" s="20" t="str">
        <f t="shared" si="15"/>
        <v>11</v>
      </c>
      <c r="D177" t="s">
        <v>83</v>
      </c>
      <c r="E177" s="20" t="s">
        <v>128</v>
      </c>
      <c r="F177" t="s">
        <v>103</v>
      </c>
      <c r="G177">
        <f t="shared" si="16"/>
        <v>1</v>
      </c>
      <c r="I177" t="str">
        <f t="shared" si="17"/>
        <v>postgresql11-libs*rhel8*x86_64.rpm</v>
      </c>
      <c r="J177" t="s">
        <v>390</v>
      </c>
    </row>
    <row r="178" spans="2:10" x14ac:dyDescent="0.3">
      <c r="B178" t="str">
        <f>IF(C178&lt;&gt;"","https://download.postgresql.org",[2]Main!$J$28)&amp;IF(C178="",IF(E178&lt;&gt;"8","/"&amp;E178&amp;"/os/"&amp;IF(OR(E178="8",E178="7"),"x86_64",IF(F178="noarch","x86_64",IF(E178&lt;&gt;"6",F178,IF(F178="i686","i386",F178))))&amp;"/Packages/","/"&amp;E178&amp;"/"&amp;IF(OR(AND(E178="8",LEFT(D178,6)="python"),AND(E178="8",LEFT(D178,17)="redhat-rpm-config")),"AppStream","BaseOS")&amp;"/"&amp;IF(OR(E178="8",E178="7"),"x86_64",IF(F178="noarch","x86_64",IF(E178&lt;&gt;"6",F178,IF(F178="i686","i386",F178))))&amp;"/os/Packages/"),"/pub/repos/yum/"&amp;C178&amp;"/redhat/rhel-"&amp;E178&amp;IF(E178&lt;&gt;"8","Server","")&amp;"-"&amp;IF(E178&lt;&gt;"6",F178,IF(F178="i686","i386",F178))&amp;"/")</f>
        <v>https://download.postgresql.org/pub/repos/yum/11/redhat/rhel-8-x86_64/</v>
      </c>
      <c r="C178" s="20" t="str">
        <f t="shared" si="15"/>
        <v>11</v>
      </c>
      <c r="D178" t="s">
        <v>84</v>
      </c>
      <c r="E178" s="20" t="s">
        <v>128</v>
      </c>
      <c r="F178" t="s">
        <v>103</v>
      </c>
      <c r="G178">
        <f t="shared" si="16"/>
        <v>0</v>
      </c>
      <c r="I178" t="str">
        <f t="shared" si="17"/>
        <v>postgresql11-server*rhel8*x86_64.rpm</v>
      </c>
      <c r="J178" t="s">
        <v>391</v>
      </c>
    </row>
    <row r="179" spans="2:10" x14ac:dyDescent="0.3">
      <c r="B179" t="str">
        <f>IF(C179&lt;&gt;"","https://download.postgresql.org",[2]Main!$J$28)&amp;IF(C179="",IF(E179&lt;&gt;"8","/"&amp;E179&amp;"/os/"&amp;IF(OR(E179="8",E179="7"),"x86_64",IF(F179="noarch","x86_64",IF(E179&lt;&gt;"6",F179,IF(F179="i686","i386",F179))))&amp;"/Packages/","/"&amp;E179&amp;"/"&amp;IF(OR(AND(E179="8",LEFT(D179,6)="python"),AND(E179="8",LEFT(D179,17)="redhat-rpm-config")),"AppStream","BaseOS")&amp;"/"&amp;IF(OR(E179="8",E179="7"),"x86_64",IF(F179="noarch","x86_64",IF(E179&lt;&gt;"6",F179,IF(F179="i686","i386",F179))))&amp;"/os/Packages/"),"/pub/repos/yum/"&amp;C179&amp;"/redhat/rhel-"&amp;E179&amp;IF(E179&lt;&gt;"8","Server","")&amp;"-"&amp;IF(E179&lt;&gt;"6",F179,IF(F179="i686","i386",F179))&amp;"/")</f>
        <v>https://download.postgresql.org/pub/repos/yum/12/redhat/rhel-8-x86_64/</v>
      </c>
      <c r="C179" s="20" t="str">
        <f t="shared" si="15"/>
        <v>12</v>
      </c>
      <c r="D179" t="s">
        <v>85</v>
      </c>
      <c r="E179" s="20" t="s">
        <v>128</v>
      </c>
      <c r="F179" t="s">
        <v>103</v>
      </c>
      <c r="G179">
        <f t="shared" si="16"/>
        <v>1</v>
      </c>
      <c r="I179" t="str">
        <f t="shared" si="17"/>
        <v>postgresql12*rhel8*x86_64.rpm</v>
      </c>
      <c r="J179" t="s">
        <v>392</v>
      </c>
    </row>
    <row r="180" spans="2:10" x14ac:dyDescent="0.3">
      <c r="B180" t="str">
        <f>IF(C180&lt;&gt;"","https://download.postgresql.org",[2]Main!$J$28)&amp;IF(C180="",IF(E180&lt;&gt;"8","/"&amp;E180&amp;"/os/"&amp;IF(OR(E180="8",E180="7"),"x86_64",IF(F180="noarch","x86_64",IF(E180&lt;&gt;"6",F180,IF(F180="i686","i386",F180))))&amp;"/Packages/","/"&amp;E180&amp;"/"&amp;IF(OR(AND(E180="8",LEFT(D180,6)="python"),AND(E180="8",LEFT(D180,17)="redhat-rpm-config")),"AppStream","BaseOS")&amp;"/"&amp;IF(OR(E180="8",E180="7"),"x86_64",IF(F180="noarch","x86_64",IF(E180&lt;&gt;"6",F180,IF(F180="i686","i386",F180))))&amp;"/os/Packages/"),"/pub/repos/yum/"&amp;C180&amp;"/redhat/rhel-"&amp;E180&amp;IF(E180&lt;&gt;"8","Server","")&amp;"-"&amp;IF(E180&lt;&gt;"6",F180,IF(F180="i686","i386",F180))&amp;"/")</f>
        <v>https://download.postgresql.org/pub/repos/yum/12/redhat/rhel-8-x86_64/</v>
      </c>
      <c r="C180" s="20" t="str">
        <f t="shared" si="15"/>
        <v>12</v>
      </c>
      <c r="D180" t="s">
        <v>86</v>
      </c>
      <c r="E180" s="20" t="s">
        <v>128</v>
      </c>
      <c r="F180" t="s">
        <v>103</v>
      </c>
      <c r="G180">
        <f t="shared" si="16"/>
        <v>1</v>
      </c>
      <c r="I180" t="str">
        <f t="shared" si="17"/>
        <v>postgresql12-contrib*rhel8*x86_64.rpm</v>
      </c>
      <c r="J180" t="s">
        <v>393</v>
      </c>
    </row>
    <row r="181" spans="2:10" x14ac:dyDescent="0.3">
      <c r="B181" t="str">
        <f>IF(C181&lt;&gt;"","https://download.postgresql.org",[2]Main!$J$28)&amp;IF(C181="",IF(E181&lt;&gt;"8","/"&amp;E181&amp;"/os/"&amp;IF(OR(E181="8",E181="7"),"x86_64",IF(F181="noarch","x86_64",IF(E181&lt;&gt;"6",F181,IF(F181="i686","i386",F181))))&amp;"/Packages/","/"&amp;E181&amp;"/"&amp;IF(OR(AND(E181="8",LEFT(D181,6)="python"),AND(E181="8",LEFT(D181,17)="redhat-rpm-config")),"AppStream","BaseOS")&amp;"/"&amp;IF(OR(E181="8",E181="7"),"x86_64",IF(F181="noarch","x86_64",IF(E181&lt;&gt;"6",F181,IF(F181="i686","i386",F181))))&amp;"/os/Packages/"),"/pub/repos/yum/"&amp;C181&amp;"/redhat/rhel-"&amp;E181&amp;IF(E181&lt;&gt;"8","Server","")&amp;"-"&amp;IF(E181&lt;&gt;"6",F181,IF(F181="i686","i386",F181))&amp;"/")</f>
        <v>https://download.postgresql.org/pub/repos/yum/12/redhat/rhel-8-x86_64/</v>
      </c>
      <c r="C181" s="20" t="str">
        <f t="shared" si="15"/>
        <v>12</v>
      </c>
      <c r="D181" t="s">
        <v>87</v>
      </c>
      <c r="E181" s="20" t="s">
        <v>128</v>
      </c>
      <c r="F181" t="s">
        <v>103</v>
      </c>
      <c r="G181">
        <f t="shared" si="16"/>
        <v>1</v>
      </c>
      <c r="I181" t="str">
        <f t="shared" si="17"/>
        <v>postgresql12-libs*rhel8*x86_64.rpm</v>
      </c>
      <c r="J181" t="s">
        <v>394</v>
      </c>
    </row>
    <row r="182" spans="2:10" x14ac:dyDescent="0.3">
      <c r="B182" t="str">
        <f>IF(C182&lt;&gt;"","https://download.postgresql.org",[2]Main!$J$28)&amp;IF(C182="",IF(E182&lt;&gt;"8","/"&amp;E182&amp;"/os/"&amp;IF(OR(E182="8",E182="7"),"x86_64",IF(F182="noarch","x86_64",IF(E182&lt;&gt;"6",F182,IF(F182="i686","i386",F182))))&amp;"/Packages/","/"&amp;E182&amp;"/"&amp;IF(OR(AND(E182="8",LEFT(D182,6)="python"),AND(E182="8",LEFT(D182,17)="redhat-rpm-config")),"AppStream","BaseOS")&amp;"/"&amp;IF(OR(E182="8",E182="7"),"x86_64",IF(F182="noarch","x86_64",IF(E182&lt;&gt;"6",F182,IF(F182="i686","i386",F182))))&amp;"/os/Packages/"),"/pub/repos/yum/"&amp;C182&amp;"/redhat/rhel-"&amp;E182&amp;IF(E182&lt;&gt;"8","Server","")&amp;"-"&amp;IF(E182&lt;&gt;"6",F182,IF(F182="i686","i386",F182))&amp;"/")</f>
        <v>https://download.postgresql.org/pub/repos/yum/12/redhat/rhel-8-x86_64/</v>
      </c>
      <c r="C182" s="20" t="str">
        <f t="shared" si="15"/>
        <v>12</v>
      </c>
      <c r="D182" t="s">
        <v>88</v>
      </c>
      <c r="E182" s="20" t="s">
        <v>128</v>
      </c>
      <c r="F182" t="s">
        <v>103</v>
      </c>
      <c r="G182">
        <f t="shared" si="16"/>
        <v>0</v>
      </c>
      <c r="I182" t="str">
        <f t="shared" si="17"/>
        <v>postgresql12-server*rhel8*x86_64.rpm</v>
      </c>
      <c r="J182" t="s">
        <v>395</v>
      </c>
    </row>
    <row r="183" spans="2:10" x14ac:dyDescent="0.3">
      <c r="B183" t="str">
        <f>IF(C183&lt;&gt;"","https://download.postgresql.org",[2]Main!$J$28)&amp;IF(C183="",IF(E183&lt;&gt;"8","/"&amp;E183&amp;"/os/"&amp;IF(OR(E183="8",E183="7"),"x86_64",IF(F183="noarch","x86_64",IF(E183&lt;&gt;"6",F183,IF(F183="i686","i386",F183))))&amp;"/Packages/","/"&amp;E183&amp;"/"&amp;IF(OR(AND(E183="8",LEFT(D183,6)="python"),AND(E183="8",LEFT(D183,17)="redhat-rpm-config")),"AppStream","BaseOS")&amp;"/"&amp;IF(OR(E183="8",E183="7"),"x86_64",IF(F183="noarch","x86_64",IF(E183&lt;&gt;"6",F183,IF(F183="i686","i386",F183))))&amp;"/os/Packages/"),"/pub/repos/yum/"&amp;C183&amp;"/redhat/rhel-"&amp;E183&amp;IF(E183&lt;&gt;"8","Server","")&amp;"-"&amp;IF(E183&lt;&gt;"6",F183,IF(F183="i686","i386",F183))&amp;"/")</f>
        <v>https://download.postgresql.org/pub/repos/yum/9.4/redhat/rhel-8-x86_64/</v>
      </c>
      <c r="C183" s="20">
        <f t="shared" si="15"/>
        <v>9.4</v>
      </c>
      <c r="D183" t="s">
        <v>89</v>
      </c>
      <c r="E183" s="20" t="s">
        <v>128</v>
      </c>
      <c r="F183" t="s">
        <v>103</v>
      </c>
      <c r="G183">
        <f t="shared" si="16"/>
        <v>1</v>
      </c>
      <c r="I183" t="str">
        <f t="shared" si="17"/>
        <v>postgresql94*rhel8*x86_64.rpm</v>
      </c>
      <c r="J183" t="s">
        <v>287</v>
      </c>
    </row>
    <row r="184" spans="2:10" x14ac:dyDescent="0.3">
      <c r="B184" t="str">
        <f>IF(C184&lt;&gt;"","https://download.postgresql.org",[2]Main!$J$28)&amp;IF(C184="",IF(E184&lt;&gt;"8","/"&amp;E184&amp;"/os/"&amp;IF(OR(E184="8",E184="7"),"x86_64",IF(F184="noarch","x86_64",IF(E184&lt;&gt;"6",F184,IF(F184="i686","i386",F184))))&amp;"/Packages/","/"&amp;E184&amp;"/"&amp;IF(OR(AND(E184="8",LEFT(D184,6)="python"),AND(E184="8",LEFT(D184,17)="redhat-rpm-config")),"AppStream","BaseOS")&amp;"/"&amp;IF(OR(E184="8",E184="7"),"x86_64",IF(F184="noarch","x86_64",IF(E184&lt;&gt;"6",F184,IF(F184="i686","i386",F184))))&amp;"/os/Packages/"),"/pub/repos/yum/"&amp;C184&amp;"/redhat/rhel-"&amp;E184&amp;IF(E184&lt;&gt;"8","Server","")&amp;"-"&amp;IF(E184&lt;&gt;"6",F184,IF(F184="i686","i386",F184))&amp;"/")</f>
        <v>https://download.postgresql.org/pub/repos/yum/9.4/redhat/rhel-8-x86_64/</v>
      </c>
      <c r="C184" s="20">
        <f t="shared" si="15"/>
        <v>9.4</v>
      </c>
      <c r="D184" t="s">
        <v>90</v>
      </c>
      <c r="E184" s="20" t="s">
        <v>128</v>
      </c>
      <c r="F184" t="s">
        <v>103</v>
      </c>
      <c r="G184">
        <f t="shared" si="16"/>
        <v>1</v>
      </c>
      <c r="I184" t="str">
        <f t="shared" si="17"/>
        <v>postgresql94-contrib*rhel8*x86_64.rpm</v>
      </c>
      <c r="J184" t="s">
        <v>288</v>
      </c>
    </row>
    <row r="185" spans="2:10" x14ac:dyDescent="0.3">
      <c r="B185" t="str">
        <f>IF(C185&lt;&gt;"","https://download.postgresql.org",[2]Main!$J$28)&amp;IF(C185="",IF(E185&lt;&gt;"8","/"&amp;E185&amp;"/os/"&amp;IF(OR(E185="8",E185="7"),"x86_64",IF(F185="noarch","x86_64",IF(E185&lt;&gt;"6",F185,IF(F185="i686","i386",F185))))&amp;"/Packages/","/"&amp;E185&amp;"/"&amp;IF(OR(AND(E185="8",LEFT(D185,6)="python"),AND(E185="8",LEFT(D185,17)="redhat-rpm-config")),"AppStream","BaseOS")&amp;"/"&amp;IF(OR(E185="8",E185="7"),"x86_64",IF(F185="noarch","x86_64",IF(E185&lt;&gt;"6",F185,IF(F185="i686","i386",F185))))&amp;"/os/Packages/"),"/pub/repos/yum/"&amp;C185&amp;"/redhat/rhel-"&amp;E185&amp;IF(E185&lt;&gt;"8","Server","")&amp;"-"&amp;IF(E185&lt;&gt;"6",F185,IF(F185="i686","i386",F185))&amp;"/")</f>
        <v>https://download.postgresql.org/pub/repos/yum/9.4/redhat/rhel-8-x86_64/</v>
      </c>
      <c r="C185" s="20">
        <f t="shared" si="15"/>
        <v>9.4</v>
      </c>
      <c r="D185" t="s">
        <v>91</v>
      </c>
      <c r="E185" s="20" t="s">
        <v>128</v>
      </c>
      <c r="F185" t="s">
        <v>103</v>
      </c>
      <c r="G185">
        <f t="shared" si="16"/>
        <v>1</v>
      </c>
      <c r="I185" t="str">
        <f t="shared" si="17"/>
        <v>postgresql94-libs*rhel8*x86_64.rpm</v>
      </c>
      <c r="J185" t="s">
        <v>289</v>
      </c>
    </row>
    <row r="186" spans="2:10" x14ac:dyDescent="0.3">
      <c r="B186" t="str">
        <f>IF(C186&lt;&gt;"","https://download.postgresql.org",[2]Main!$J$28)&amp;IF(C186="",IF(E186&lt;&gt;"8","/"&amp;E186&amp;"/os/"&amp;IF(OR(E186="8",E186="7"),"x86_64",IF(F186="noarch","x86_64",IF(E186&lt;&gt;"6",F186,IF(F186="i686","i386",F186))))&amp;"/Packages/","/"&amp;E186&amp;"/"&amp;IF(OR(AND(E186="8",LEFT(D186,6)="python"),AND(E186="8",LEFT(D186,17)="redhat-rpm-config")),"AppStream","BaseOS")&amp;"/"&amp;IF(OR(E186="8",E186="7"),"x86_64",IF(F186="noarch","x86_64",IF(E186&lt;&gt;"6",F186,IF(F186="i686","i386",F186))))&amp;"/os/Packages/"),"/pub/repos/yum/"&amp;C186&amp;"/redhat/rhel-"&amp;E186&amp;IF(E186&lt;&gt;"8","Server","")&amp;"-"&amp;IF(E186&lt;&gt;"6",F186,IF(F186="i686","i386",F186))&amp;"/")</f>
        <v>https://download.postgresql.org/pub/repos/yum/9.4/redhat/rhel-8-x86_64/</v>
      </c>
      <c r="C186" s="20">
        <f t="shared" si="15"/>
        <v>9.4</v>
      </c>
      <c r="D186" t="s">
        <v>92</v>
      </c>
      <c r="E186" s="20" t="s">
        <v>128</v>
      </c>
      <c r="F186" t="s">
        <v>103</v>
      </c>
      <c r="G186">
        <f t="shared" si="16"/>
        <v>0</v>
      </c>
      <c r="I186" t="str">
        <f t="shared" si="17"/>
        <v>postgresql94-server*rhel8*x86_64.rpm</v>
      </c>
      <c r="J186" t="s">
        <v>290</v>
      </c>
    </row>
    <row r="187" spans="2:10" x14ac:dyDescent="0.3">
      <c r="B187" t="str">
        <f>IF(C187&lt;&gt;"","https://download.postgresql.org",[2]Main!$J$28)&amp;IF(C187="",IF(E187&lt;&gt;"8","/"&amp;E187&amp;"/os/"&amp;IF(OR(E187="8",E187="7"),"x86_64",IF(F187="noarch","x86_64",IF(E187&lt;&gt;"6",F187,IF(F187="i686","i386",F187))))&amp;"/Packages/","/"&amp;E187&amp;"/"&amp;IF(OR(AND(E187="8",LEFT(D187,6)="python"),AND(E187="8",LEFT(D187,17)="redhat-rpm-config")),"AppStream","BaseOS")&amp;"/"&amp;IF(OR(E187="8",E187="7"),"x86_64",IF(F187="noarch","x86_64",IF(E187&lt;&gt;"6",F187,IF(F187="i686","i386",F187))))&amp;"/os/Packages/"),"/pub/repos/yum/"&amp;C187&amp;"/redhat/rhel-"&amp;E187&amp;IF(E187&lt;&gt;"8","Server","")&amp;"-"&amp;IF(E187&lt;&gt;"6",F187,IF(F187="i686","i386",F187))&amp;"/")</f>
        <v>https://download.postgresql.org/pub/repos/yum/9.5/redhat/rhel-8-x86_64/</v>
      </c>
      <c r="C187" s="20">
        <f t="shared" si="15"/>
        <v>9.5</v>
      </c>
      <c r="D187" t="s">
        <v>93</v>
      </c>
      <c r="E187" s="20" t="s">
        <v>128</v>
      </c>
      <c r="F187" t="s">
        <v>103</v>
      </c>
      <c r="G187">
        <f t="shared" si="16"/>
        <v>1</v>
      </c>
      <c r="I187" t="str">
        <f t="shared" si="17"/>
        <v>postgresql95*rhel8*x86_64.rpm</v>
      </c>
      <c r="J187" t="s">
        <v>266</v>
      </c>
    </row>
    <row r="188" spans="2:10" x14ac:dyDescent="0.3">
      <c r="B188" t="str">
        <f>IF(C188&lt;&gt;"","https://download.postgresql.org",[2]Main!$J$28)&amp;IF(C188="",IF(E188&lt;&gt;"8","/"&amp;E188&amp;"/os/"&amp;IF(OR(E188="8",E188="7"),"x86_64",IF(F188="noarch","x86_64",IF(E188&lt;&gt;"6",F188,IF(F188="i686","i386",F188))))&amp;"/Packages/","/"&amp;E188&amp;"/"&amp;IF(OR(AND(E188="8",LEFT(D188,6)="python"),AND(E188="8",LEFT(D188,17)="redhat-rpm-config")),"AppStream","BaseOS")&amp;"/"&amp;IF(OR(E188="8",E188="7"),"x86_64",IF(F188="noarch","x86_64",IF(E188&lt;&gt;"6",F188,IF(F188="i686","i386",F188))))&amp;"/os/Packages/"),"/pub/repos/yum/"&amp;C188&amp;"/redhat/rhel-"&amp;E188&amp;IF(E188&lt;&gt;"8","Server","")&amp;"-"&amp;IF(E188&lt;&gt;"6",F188,IF(F188="i686","i386",F188))&amp;"/")</f>
        <v>https://download.postgresql.org/pub/repos/yum/9.5/redhat/rhel-8-x86_64/</v>
      </c>
      <c r="C188" s="20">
        <f t="shared" si="15"/>
        <v>9.5</v>
      </c>
      <c r="D188" t="s">
        <v>94</v>
      </c>
      <c r="E188" s="20" t="s">
        <v>128</v>
      </c>
      <c r="F188" t="s">
        <v>103</v>
      </c>
      <c r="G188">
        <f t="shared" si="16"/>
        <v>1</v>
      </c>
      <c r="I188" t="str">
        <f t="shared" si="17"/>
        <v>postgresql95-contrib*rhel8*x86_64.rpm</v>
      </c>
      <c r="J188" t="s">
        <v>244</v>
      </c>
    </row>
    <row r="189" spans="2:10" x14ac:dyDescent="0.3">
      <c r="B189" t="str">
        <f>IF(C189&lt;&gt;"","https://download.postgresql.org",[2]Main!$J$28)&amp;IF(C189="",IF(E189&lt;&gt;"8","/"&amp;E189&amp;"/os/"&amp;IF(OR(E189="8",E189="7"),"x86_64",IF(F189="noarch","x86_64",IF(E189&lt;&gt;"6",F189,IF(F189="i686","i386",F189))))&amp;"/Packages/","/"&amp;E189&amp;"/"&amp;IF(OR(AND(E189="8",LEFT(D189,6)="python"),AND(E189="8",LEFT(D189,17)="redhat-rpm-config")),"AppStream","BaseOS")&amp;"/"&amp;IF(OR(E189="8",E189="7"),"x86_64",IF(F189="noarch","x86_64",IF(E189&lt;&gt;"6",F189,IF(F189="i686","i386",F189))))&amp;"/os/Packages/"),"/pub/repos/yum/"&amp;C189&amp;"/redhat/rhel-"&amp;E189&amp;IF(E189&lt;&gt;"8","Server","")&amp;"-"&amp;IF(E189&lt;&gt;"6",F189,IF(F189="i686","i386",F189))&amp;"/")</f>
        <v>https://download.postgresql.org/pub/repos/yum/9.5/redhat/rhel-8-x86_64/</v>
      </c>
      <c r="C189" s="20">
        <f t="shared" si="15"/>
        <v>9.5</v>
      </c>
      <c r="D189" t="s">
        <v>95</v>
      </c>
      <c r="E189" s="20" t="s">
        <v>128</v>
      </c>
      <c r="F189" t="s">
        <v>103</v>
      </c>
      <c r="G189">
        <f t="shared" si="16"/>
        <v>1</v>
      </c>
      <c r="I189" t="str">
        <f t="shared" si="17"/>
        <v>postgresql95-libs*rhel8*x86_64.rpm</v>
      </c>
      <c r="J189" t="s">
        <v>245</v>
      </c>
    </row>
    <row r="190" spans="2:10" x14ac:dyDescent="0.3">
      <c r="B190" t="str">
        <f>IF(C190&lt;&gt;"","https://download.postgresql.org",[2]Main!$J$28)&amp;IF(C190="",IF(E190&lt;&gt;"8","/"&amp;E190&amp;"/os/"&amp;IF(OR(E190="8",E190="7"),"x86_64",IF(F190="noarch","x86_64",IF(E190&lt;&gt;"6",F190,IF(F190="i686","i386",F190))))&amp;"/Packages/","/"&amp;E190&amp;"/"&amp;IF(OR(AND(E190="8",LEFT(D190,6)="python"),AND(E190="8",LEFT(D190,17)="redhat-rpm-config")),"AppStream","BaseOS")&amp;"/"&amp;IF(OR(E190="8",E190="7"),"x86_64",IF(F190="noarch","x86_64",IF(E190&lt;&gt;"6",F190,IF(F190="i686","i386",F190))))&amp;"/os/Packages/"),"/pub/repos/yum/"&amp;C190&amp;"/redhat/rhel-"&amp;E190&amp;IF(E190&lt;&gt;"8","Server","")&amp;"-"&amp;IF(E190&lt;&gt;"6",F190,IF(F190="i686","i386",F190))&amp;"/")</f>
        <v>https://download.postgresql.org/pub/repos/yum/9.5/redhat/rhel-8-x86_64/</v>
      </c>
      <c r="C190" s="20">
        <f t="shared" si="15"/>
        <v>9.5</v>
      </c>
      <c r="D190" t="s">
        <v>96</v>
      </c>
      <c r="E190" s="20" t="s">
        <v>128</v>
      </c>
      <c r="F190" t="s">
        <v>103</v>
      </c>
      <c r="G190">
        <f t="shared" si="16"/>
        <v>0</v>
      </c>
      <c r="I190" t="str">
        <f t="shared" si="17"/>
        <v>postgresql95-server*rhel8*x86_64.rpm</v>
      </c>
      <c r="J190" t="s">
        <v>246</v>
      </c>
    </row>
    <row r="191" spans="2:10" x14ac:dyDescent="0.3">
      <c r="B191" t="str">
        <f>IF(C191&lt;&gt;"","https://download.postgresql.org",[2]Main!$J$28)&amp;IF(C191="",IF(E191&lt;&gt;"8","/"&amp;E191&amp;"/os/"&amp;IF(OR(E191="8",E191="7"),"x86_64",IF(F191="noarch","x86_64",IF(E191&lt;&gt;"6",F191,IF(F191="i686","i386",F191))))&amp;"/Packages/","/"&amp;E191&amp;"/"&amp;IF(OR(AND(E191="8",LEFT(D191,6)="python"),AND(E191="8",LEFT(D191,17)="redhat-rpm-config")),"AppStream","BaseOS")&amp;"/"&amp;IF(OR(E191="8",E191="7"),"x86_64",IF(F191="noarch","x86_64",IF(E191&lt;&gt;"6",F191,IF(F191="i686","i386",F191))))&amp;"/os/Packages/"),"/pub/repos/yum/"&amp;C191&amp;"/redhat/rhel-"&amp;E191&amp;IF(E191&lt;&gt;"8","Server","")&amp;"-"&amp;IF(E191&lt;&gt;"6",F191,IF(F191="i686","i386",F191))&amp;"/")</f>
        <v>https://download.postgresql.org/pub/repos/yum/9.6/redhat/rhel-8-x86_64/</v>
      </c>
      <c r="C191" s="20">
        <f t="shared" si="15"/>
        <v>9.6</v>
      </c>
      <c r="D191" t="s">
        <v>97</v>
      </c>
      <c r="E191" s="20" t="s">
        <v>128</v>
      </c>
      <c r="F191" t="s">
        <v>103</v>
      </c>
      <c r="G191">
        <f t="shared" si="16"/>
        <v>1</v>
      </c>
      <c r="I191" t="str">
        <f t="shared" si="17"/>
        <v>postgresql96*rhel8*x86_64.rpm</v>
      </c>
      <c r="J191" t="s">
        <v>267</v>
      </c>
    </row>
    <row r="192" spans="2:10" x14ac:dyDescent="0.3">
      <c r="B192" t="str">
        <f>IF(C192&lt;&gt;"","https://download.postgresql.org",[2]Main!$J$28)&amp;IF(C192="",IF(E192&lt;&gt;"8","/"&amp;E192&amp;"/os/"&amp;IF(OR(E192="8",E192="7"),"x86_64",IF(F192="noarch","x86_64",IF(E192&lt;&gt;"6",F192,IF(F192="i686","i386",F192))))&amp;"/Packages/","/"&amp;E192&amp;"/"&amp;IF(OR(AND(E192="8",LEFT(D192,6)="python"),AND(E192="8",LEFT(D192,17)="redhat-rpm-config")),"AppStream","BaseOS")&amp;"/"&amp;IF(OR(E192="8",E192="7"),"x86_64",IF(F192="noarch","x86_64",IF(E192&lt;&gt;"6",F192,IF(F192="i686","i386",F192))))&amp;"/os/Packages/"),"/pub/repos/yum/"&amp;C192&amp;"/redhat/rhel-"&amp;E192&amp;IF(E192&lt;&gt;"8","Server","")&amp;"-"&amp;IF(E192&lt;&gt;"6",F192,IF(F192="i686","i386",F192))&amp;"/")</f>
        <v>https://download.postgresql.org/pub/repos/yum/9.6/redhat/rhel-8-x86_64/</v>
      </c>
      <c r="C192" s="20">
        <f t="shared" si="15"/>
        <v>9.6</v>
      </c>
      <c r="D192" t="s">
        <v>98</v>
      </c>
      <c r="E192" s="20" t="s">
        <v>128</v>
      </c>
      <c r="F192" t="s">
        <v>103</v>
      </c>
      <c r="G192">
        <f t="shared" si="16"/>
        <v>1</v>
      </c>
      <c r="I192" t="str">
        <f t="shared" si="17"/>
        <v>postgresql96-contrib*rhel8*x86_64.rpm</v>
      </c>
      <c r="J192" t="s">
        <v>247</v>
      </c>
    </row>
    <row r="193" spans="2:10" x14ac:dyDescent="0.3">
      <c r="B193" t="str">
        <f>IF(C193&lt;&gt;"","https://download.postgresql.org",[2]Main!$J$28)&amp;IF(C193="",IF(E193&lt;&gt;"8","/"&amp;E193&amp;"/os/"&amp;IF(OR(E193="8",E193="7"),"x86_64",IF(F193="noarch","x86_64",IF(E193&lt;&gt;"6",F193,IF(F193="i686","i386",F193))))&amp;"/Packages/","/"&amp;E193&amp;"/"&amp;IF(OR(AND(E193="8",LEFT(D193,6)="python"),AND(E193="8",LEFT(D193,17)="redhat-rpm-config")),"AppStream","BaseOS")&amp;"/"&amp;IF(OR(E193="8",E193="7"),"x86_64",IF(F193="noarch","x86_64",IF(E193&lt;&gt;"6",F193,IF(F193="i686","i386",F193))))&amp;"/os/Packages/"),"/pub/repos/yum/"&amp;C193&amp;"/redhat/rhel-"&amp;E193&amp;IF(E193&lt;&gt;"8","Server","")&amp;"-"&amp;IF(E193&lt;&gt;"6",F193,IF(F193="i686","i386",F193))&amp;"/")</f>
        <v>https://download.postgresql.org/pub/repos/yum/9.6/redhat/rhel-8-x86_64/</v>
      </c>
      <c r="C193" s="20">
        <f t="shared" si="15"/>
        <v>9.6</v>
      </c>
      <c r="D193" t="s">
        <v>99</v>
      </c>
      <c r="E193" s="20" t="s">
        <v>128</v>
      </c>
      <c r="F193" t="s">
        <v>103</v>
      </c>
      <c r="G193">
        <f t="shared" si="16"/>
        <v>1</v>
      </c>
      <c r="I193" t="str">
        <f t="shared" si="17"/>
        <v>postgresql96-libs*rhel8*x86_64.rpm</v>
      </c>
      <c r="J193" t="s">
        <v>248</v>
      </c>
    </row>
    <row r="194" spans="2:10" x14ac:dyDescent="0.3">
      <c r="B194" t="str">
        <f>IF(C194&lt;&gt;"","https://download.postgresql.org",[2]Main!$J$28)&amp;IF(C194="",IF(E194&lt;&gt;"8","/"&amp;E194&amp;"/os/"&amp;IF(OR(E194="8",E194="7"),"x86_64",IF(F194="noarch","x86_64",IF(E194&lt;&gt;"6",F194,IF(F194="i686","i386",F194))))&amp;"/Packages/","/"&amp;E194&amp;"/"&amp;IF(OR(AND(E194="8",LEFT(D194,6)="python"),AND(E194="8",LEFT(D194,17)="redhat-rpm-config")),"AppStream","BaseOS")&amp;"/"&amp;IF(OR(E194="8",E194="7"),"x86_64",IF(F194="noarch","x86_64",IF(E194&lt;&gt;"6",F194,IF(F194="i686","i386",F194))))&amp;"/os/Packages/"),"/pub/repos/yum/"&amp;C194&amp;"/redhat/rhel-"&amp;E194&amp;IF(E194&lt;&gt;"8","Server","")&amp;"-"&amp;IF(E194&lt;&gt;"6",F194,IF(F194="i686","i386",F194))&amp;"/")</f>
        <v>https://download.postgresql.org/pub/repos/yum/9.6/redhat/rhel-8-x86_64/</v>
      </c>
      <c r="C194" s="20">
        <f t="shared" si="15"/>
        <v>9.6</v>
      </c>
      <c r="D194" t="s">
        <v>100</v>
      </c>
      <c r="E194" s="20" t="s">
        <v>128</v>
      </c>
      <c r="F194" t="s">
        <v>103</v>
      </c>
      <c r="G194">
        <f t="shared" si="16"/>
        <v>0</v>
      </c>
      <c r="I194" t="str">
        <f t="shared" si="17"/>
        <v>postgresql96-server*rhel8*x86_64.rpm</v>
      </c>
      <c r="J194" t="s">
        <v>249</v>
      </c>
    </row>
    <row r="195" spans="2:10" x14ac:dyDescent="0.3">
      <c r="B195" t="str">
        <f>IF(C195&lt;&gt;"","https://download.postgresql.org",[2]Main!$J$28)&amp;IF(C195="",IF(E195&lt;&gt;"8","/"&amp;E195&amp;"/os/"&amp;IF(OR(E195="8",E195="7"),"x86_64",IF(F195="noarch","x86_64",IF(E195&lt;&gt;"6",F195,IF(F195="i686","i386",F195))))&amp;"/Packages/","/"&amp;E195&amp;"/"&amp;IF(OR(AND(E195="8",LEFT(D195,6)="python"),AND(E195="8",LEFT(D195,17)="redhat-rpm-config")),"AppStream","BaseOS")&amp;"/"&amp;IF(OR(E195="8",E195="7"),"x86_64",IF(F195="noarch","x86_64",IF(E195&lt;&gt;"6",F195,IF(F195="i686","i386",F195))))&amp;"/os/Packages/"),"/pub/repos/yum/"&amp;C195&amp;"/redhat/rhel-"&amp;E195&amp;IF(E195&lt;&gt;"8","Server","")&amp;"-"&amp;IF(E195&lt;&gt;"6",F195,IF(F195="i686","i386",F195))&amp;"/")</f>
        <v>http://mirror.kakao.com/centos/8/AppStream/x86_64/os/Packages/</v>
      </c>
      <c r="C195" s="20" t="str">
        <f t="shared" si="15"/>
        <v/>
      </c>
      <c r="D195" t="s">
        <v>492</v>
      </c>
      <c r="E195" s="20" t="s">
        <v>128</v>
      </c>
      <c r="F195" t="s">
        <v>103</v>
      </c>
      <c r="G195">
        <f t="shared" si="16"/>
        <v>1</v>
      </c>
      <c r="I195" t="str">
        <f t="shared" si="17"/>
        <v>python2*el8*x86_64.rpm</v>
      </c>
      <c r="J195" t="s">
        <v>491</v>
      </c>
    </row>
    <row r="196" spans="2:10" x14ac:dyDescent="0.3">
      <c r="B196" t="str">
        <f>IF(C196&lt;&gt;"","https://download.postgresql.org",[2]Main!$J$28)&amp;IF(C196="",IF(E196&lt;&gt;"8","/"&amp;E196&amp;"/os/"&amp;IF(OR(E196="8",E196="7"),"x86_64",IF(F196="noarch","x86_64",IF(E196&lt;&gt;"6",F196,IF(F196="i686","i386",F196))))&amp;"/Packages/","/"&amp;E196&amp;"/"&amp;IF(OR(AND(E196="8",LEFT(D196,6)="python"),AND(E196="8",LEFT(D196,17)="redhat-rpm-config")),"AppStream","BaseOS")&amp;"/"&amp;IF(OR(E196="8",E196="7"),"x86_64",IF(F196="noarch","x86_64",IF(E196&lt;&gt;"6",F196,IF(F196="i686","i386",F196))))&amp;"/os/Packages/"),"/pub/repos/yum/"&amp;C196&amp;"/redhat/rhel-"&amp;E196&amp;IF(E196&lt;&gt;"8","Server","")&amp;"-"&amp;IF(E196&lt;&gt;"6",F196,IF(F196="i686","i386",F196))&amp;"/")</f>
        <v>http://mirror.kakao.com/centos/8/AppStream/x86_64/os/Packages/</v>
      </c>
      <c r="C196" s="20" t="str">
        <f t="shared" si="15"/>
        <v/>
      </c>
      <c r="D196" t="s">
        <v>138</v>
      </c>
      <c r="E196" s="20" t="s">
        <v>128</v>
      </c>
      <c r="F196" t="s">
        <v>103</v>
      </c>
      <c r="G196">
        <f t="shared" si="16"/>
        <v>0</v>
      </c>
      <c r="I196" t="str">
        <f t="shared" si="17"/>
        <v>python2-libs*el8*x86_64.rpm</v>
      </c>
      <c r="J196" t="s">
        <v>490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Main</vt:lpstr>
      <vt:lpstr>Appendix</vt:lpstr>
      <vt:lpstr>CentOS FTP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byunggyu Park</dc:creator>
  <cp:lastModifiedBy>byunggyu Park</cp:lastModifiedBy>
  <dcterms:created xsi:type="dcterms:W3CDTF">2020-06-06T22:38:09Z</dcterms:created>
  <dcterms:modified xsi:type="dcterms:W3CDTF">2020-08-22T03:09:17Z</dcterms:modified>
</cp:coreProperties>
</file>